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0" documentId="8_{689E6E92-A77D-41B6-B5B2-126480B230EF}" xr6:coauthVersionLast="47" xr6:coauthVersionMax="47" xr10:uidLastSave="{00000000-0000-0000-0000-000000000000}"/>
  <bookViews>
    <workbookView xWindow="240" yWindow="105" windowWidth="14805" windowHeight="8010" firstSheet="2" xr2:uid="{00000000-000D-0000-FFFF-FFFF00000000}"/>
  </bookViews>
  <sheets>
    <sheet name="STUDENTS GRADE" sheetId="1" r:id="rId1"/>
    <sheet name="SALES DATA" sheetId="2" r:id="rId2"/>
    <sheet name="EMPLOYEES DAT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B3" i="2" l="1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" i="2"/>
  <c r="L3" i="3"/>
  <c r="U3" i="2"/>
  <c r="V3" i="1" a="1"/>
  <c r="V3" i="1"/>
  <c r="S4" i="2"/>
  <c r="O2" i="1" a="1"/>
  <c r="O2" i="1" s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" i="3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" i="2"/>
  <c r="L2" i="2" a="1"/>
  <c r="L2" i="2"/>
  <c r="L3" i="2" a="1"/>
  <c r="L3" i="2"/>
  <c r="L4" i="2" a="1"/>
  <c r="L4" i="2"/>
  <c r="L5" i="2" a="1"/>
  <c r="L5" i="2"/>
  <c r="L6" i="2" a="1"/>
  <c r="L6" i="2"/>
  <c r="L7" i="2" a="1"/>
  <c r="L7" i="2"/>
  <c r="L8" i="2" a="1"/>
  <c r="L8" i="2"/>
  <c r="L9" i="2" a="1"/>
  <c r="L9" i="2"/>
  <c r="L10" i="2" a="1"/>
  <c r="L10" i="2"/>
  <c r="L11" i="2" a="1"/>
  <c r="L11" i="2"/>
  <c r="L12" i="2" a="1"/>
  <c r="L12" i="2"/>
  <c r="L13" i="2" a="1"/>
  <c r="L13" i="2"/>
  <c r="L14" i="2" a="1"/>
  <c r="L14" i="2"/>
  <c r="L15" i="2" a="1"/>
  <c r="L15" i="2"/>
  <c r="L16" i="2" a="1"/>
  <c r="L16" i="2"/>
  <c r="L17" i="2" a="1"/>
  <c r="L17" i="2"/>
  <c r="L18" i="2" a="1"/>
  <c r="L18" i="2"/>
  <c r="L19" i="2" a="1"/>
  <c r="L19" i="2"/>
  <c r="L20" i="2" a="1"/>
  <c r="L20" i="2"/>
  <c r="L21" i="2" a="1"/>
  <c r="L21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" i="2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" i="2"/>
  <c r="H2" i="1" a="1"/>
  <c r="H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<sst xmlns="http://schemas.openxmlformats.org/spreadsheetml/2006/main" count="194" uniqueCount="142">
  <si>
    <t>Student ID</t>
  </si>
  <si>
    <t>Name</t>
  </si>
  <si>
    <t>Math</t>
  </si>
  <si>
    <t>Science</t>
  </si>
  <si>
    <t>English</t>
  </si>
  <si>
    <t>Enrollment Date</t>
  </si>
  <si>
    <t>STUDENTS SCORING ABOVE 80</t>
  </si>
  <si>
    <t>SCORED ABOVE 50  IN MATH</t>
  </si>
  <si>
    <t>AVERAGEIFS</t>
  </si>
  <si>
    <t>Student 1</t>
  </si>
  <si>
    <t>MATH AVERAGE   ABOVE  60</t>
  </si>
  <si>
    <t>Student 2</t>
  </si>
  <si>
    <t>Student 3</t>
  </si>
  <si>
    <t>Student 4</t>
  </si>
  <si>
    <t>Student 5</t>
  </si>
  <si>
    <t>Student 6</t>
  </si>
  <si>
    <t>Student 7</t>
  </si>
  <si>
    <t xml:space="preserve"> 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</si>
  <si>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</si>
  <si>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</si>
  <si>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</si>
  <si>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</si>
  <si>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</si>
  <si>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</si>
  <si>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</si>
  <si>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</si>
  <si>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</si>
  <si>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</si>
  <si>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</si>
  <si>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</si>
  <si>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</si>
  <si>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Sales ID</t>
  </si>
  <si>
    <t>Product</t>
  </si>
  <si>
    <t>Region</t>
  </si>
  <si>
    <t>Salesperson</t>
  </si>
  <si>
    <t>Amount</t>
  </si>
  <si>
    <t>Date</t>
  </si>
  <si>
    <t>ROUND</t>
  </si>
  <si>
    <t>CELING FUNCTION</t>
  </si>
  <si>
    <t>FLOOR</t>
  </si>
  <si>
    <t>INDEX-MATCH</t>
  </si>
  <si>
    <t xml:space="preserve">INDIRECT </t>
  </si>
  <si>
    <t>OFFSET</t>
  </si>
  <si>
    <t>SALES PERSON</t>
  </si>
  <si>
    <t>SALE AMOUNT</t>
  </si>
  <si>
    <t>XMATCH</t>
  </si>
  <si>
    <t>SUMIFS</t>
  </si>
  <si>
    <t>VLOOKUP</t>
  </si>
  <si>
    <t>UPPER</t>
  </si>
  <si>
    <t>LOWER</t>
  </si>
  <si>
    <t>PROPER</t>
  </si>
  <si>
    <t xml:space="preserve">LEFT </t>
  </si>
  <si>
    <t>RIGHT</t>
  </si>
  <si>
    <t xml:space="preserve">FIND </t>
  </si>
  <si>
    <t>Keyboard</t>
  </si>
  <si>
    <t>South</t>
  </si>
  <si>
    <t>Person 1</t>
  </si>
  <si>
    <t>PERSON 1</t>
  </si>
  <si>
    <t>REGION</t>
  </si>
  <si>
    <t>SOUTH</t>
  </si>
  <si>
    <t>PRODUCT</t>
  </si>
  <si>
    <t>KEYBOARD</t>
  </si>
  <si>
    <t>Printer</t>
  </si>
  <si>
    <t>West</t>
  </si>
  <si>
    <t>Person 2</t>
  </si>
  <si>
    <t>PERSON 2</t>
  </si>
  <si>
    <t>TOTAL SALE</t>
  </si>
  <si>
    <t>Mouse</t>
  </si>
  <si>
    <t>Person 3</t>
  </si>
  <si>
    <t>PERSON 3</t>
  </si>
  <si>
    <t>TOTAL SALES</t>
  </si>
  <si>
    <t>East</t>
  </si>
  <si>
    <t>Person 4</t>
  </si>
  <si>
    <t>PERSON 4</t>
  </si>
  <si>
    <t>North</t>
  </si>
  <si>
    <t>Person 5</t>
  </si>
  <si>
    <t>PERSON 5</t>
  </si>
  <si>
    <t>Person 6</t>
  </si>
  <si>
    <t>PERSON 6</t>
  </si>
  <si>
    <t>Person 7</t>
  </si>
  <si>
    <t>PERSON 7</t>
  </si>
  <si>
    <t>Person 8</t>
  </si>
  <si>
    <t>PERSON 8</t>
  </si>
  <si>
    <t>Person 9</t>
  </si>
  <si>
    <t>PERSON 9</t>
  </si>
  <si>
    <t>Person 10</t>
  </si>
  <si>
    <t>PERSON 10</t>
  </si>
  <si>
    <t>Person 11</t>
  </si>
  <si>
    <t>PERSON 11</t>
  </si>
  <si>
    <t>Monitor</t>
  </si>
  <si>
    <t>Person 12</t>
  </si>
  <si>
    <t>PERSON 12</t>
  </si>
  <si>
    <t>Laptop</t>
  </si>
  <si>
    <t>Person 13</t>
  </si>
  <si>
    <t>PERSON 13</t>
  </si>
  <si>
    <t>Person 14</t>
  </si>
  <si>
    <t>PERSON 14</t>
  </si>
  <si>
    <t>Person 15</t>
  </si>
  <si>
    <t>PERSON 15</t>
  </si>
  <si>
    <t>Person 16</t>
  </si>
  <si>
    <t>PERSON 16</t>
  </si>
  <si>
    <t>Person 17</t>
  </si>
  <si>
    <t>PERSON 17</t>
  </si>
  <si>
    <t>Person 18</t>
  </si>
  <si>
    <t>PERSON 18</t>
  </si>
  <si>
    <t>Person 19</t>
  </si>
  <si>
    <t>PERSON 19</t>
  </si>
  <si>
    <t>Person 20</t>
  </si>
  <si>
    <t>PERSON 20</t>
  </si>
  <si>
    <t>Employee ID</t>
  </si>
  <si>
    <t>Department</t>
  </si>
  <si>
    <t>Salary</t>
  </si>
  <si>
    <t>Joining Date</t>
  </si>
  <si>
    <t>SINCE JOINING</t>
  </si>
  <si>
    <t xml:space="preserve">DIFFETENCE IN DAY </t>
  </si>
  <si>
    <t>XLOOKUP</t>
  </si>
  <si>
    <t>Employee 1</t>
  </si>
  <si>
    <t>Finance</t>
  </si>
  <si>
    <t xml:space="preserve">EMP ID </t>
  </si>
  <si>
    <t>Employee 2</t>
  </si>
  <si>
    <t>EMP SALARY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</si>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</sst>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charset val="1"/>
    </font>
    <font>
      <sz val="11"/>
      <color theme="1"/>
      <name val="Calibri"/>
      <charset val="1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2" xfId="0" applyFont="1" applyFill="1" applyBorder="1" applyAlignment="1">
      <alignment readingOrder="1"/>
    </xf>
    <xf numFmtId="0" fontId="1" fillId="2" borderId="1" xfId="0" applyFont="1" applyFill="1" applyBorder="1" applyAlignment="1">
      <alignment horizontal="center" readingOrder="1"/>
    </xf>
    <xf numFmtId="0" fontId="1" fillId="2" borderId="2" xfId="0" applyFont="1" applyFill="1" applyBorder="1" applyAlignment="1">
      <alignment horizontal="center" readingOrder="1"/>
    </xf>
    <xf numFmtId="14" fontId="0" fillId="0" borderId="0" xfId="0" applyNumberFormat="1"/>
    <xf numFmtId="0" fontId="0" fillId="3" borderId="0" xfId="0" applyFill="1"/>
    <xf numFmtId="0" fontId="2" fillId="4" borderId="3" xfId="0" applyFont="1" applyFill="1" applyBorder="1" applyAlignment="1">
      <alignment horizontal="center" readingOrder="1"/>
    </xf>
    <xf numFmtId="0" fontId="2" fillId="4" borderId="4" xfId="0" applyFont="1" applyFill="1" applyBorder="1" applyAlignment="1">
      <alignment horizontal="center" readingOrder="1"/>
    </xf>
    <xf numFmtId="14" fontId="2" fillId="4" borderId="4" xfId="0" applyNumberFormat="1" applyFont="1" applyFill="1" applyBorder="1" applyAlignment="1">
      <alignment readingOrder="1"/>
    </xf>
    <xf numFmtId="14" fontId="0" fillId="4" borderId="1" xfId="0" applyNumberFormat="1" applyFill="1" applyBorder="1"/>
    <xf numFmtId="0" fontId="0" fillId="4" borderId="1" xfId="0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3" borderId="0" xfId="0" applyFont="1" applyFill="1"/>
    <xf numFmtId="164" fontId="2" fillId="4" borderId="4" xfId="0" applyNumberFormat="1" applyFont="1" applyFill="1" applyBorder="1" applyAlignment="1">
      <alignment horizontal="center" readingOrder="1"/>
    </xf>
    <xf numFmtId="14" fontId="2" fillId="4" borderId="4" xfId="0" applyNumberFormat="1" applyFont="1" applyFill="1" applyBorder="1" applyAlignment="1">
      <alignment horizontal="center" readingOrder="1"/>
    </xf>
    <xf numFmtId="0" fontId="3" fillId="3" borderId="0" xfId="0" applyFont="1" applyFill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/>
    <xf numFmtId="0" fontId="3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"/>
  <sheetViews>
    <sheetView tabSelected="1" topLeftCell="K1" workbookViewId="0">
      <selection activeCell="N1" sqref="N1:Q1"/>
    </sheetView>
  </sheetViews>
  <sheetFormatPr defaultRowHeight="15"/>
  <cols>
    <col min="1" max="1" width="10.5703125" customWidth="1"/>
    <col min="2" max="2" width="10.7109375" customWidth="1"/>
    <col min="6" max="6" width="18.140625" customWidth="1"/>
    <col min="9" max="9" width="11.140625" customWidth="1"/>
    <col min="13" max="13" width="11.42578125" bestFit="1" customWidth="1"/>
    <col min="16" max="16" width="10.7109375" customWidth="1"/>
    <col min="20" max="20" width="12.28515625" customWidth="1"/>
    <col min="23" max="23" width="11.140625" customWidth="1"/>
  </cols>
  <sheetData>
    <row r="1" spans="1:2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H1" s="11" t="s">
        <v>6</v>
      </c>
      <c r="I1" s="11"/>
      <c r="J1" s="11"/>
      <c r="K1" s="11"/>
      <c r="L1" s="11"/>
      <c r="M1" s="11"/>
      <c r="N1" s="24"/>
      <c r="O1" s="25" t="s">
        <v>7</v>
      </c>
      <c r="P1" s="25"/>
      <c r="Q1" s="25"/>
      <c r="R1" s="17"/>
      <c r="S1" s="17"/>
      <c r="T1" s="17"/>
      <c r="V1" s="14" t="s">
        <v>8</v>
      </c>
      <c r="W1" s="14"/>
      <c r="X1" s="14"/>
    </row>
    <row r="2" spans="1:24">
      <c r="A2" s="6">
        <v>1001</v>
      </c>
      <c r="B2" s="7" t="s">
        <v>9</v>
      </c>
      <c r="C2" s="7">
        <v>61</v>
      </c>
      <c r="D2" s="7">
        <v>48</v>
      </c>
      <c r="E2" s="7">
        <v>76</v>
      </c>
      <c r="F2" s="8">
        <v>43101</v>
      </c>
      <c r="H2" s="13" cm="1">
        <f t="array" ref="H2:M12">_xlfn._xlws.FILTER(A2:F21,(C2:C21&gt;80)+(D2:D21&gt;80)+(E2:E21&gt;80),"NOT STUDENTS FOUND")</f>
        <v>1003</v>
      </c>
      <c r="I2" s="13" t="str">
        <v>Student 3</v>
      </c>
      <c r="J2" s="13">
        <v>97</v>
      </c>
      <c r="K2" s="13">
        <v>60</v>
      </c>
      <c r="L2" s="13">
        <v>51</v>
      </c>
      <c r="M2" s="19">
        <v>43461</v>
      </c>
      <c r="O2" s="13" cm="1">
        <f t="array" ref="O2:T20">_xlfn._xlws.FILTER(A2:F21,C2:C21&gt;50,"No students found")</f>
        <v>1001</v>
      </c>
      <c r="P2" s="13" t="str">
        <v>Student 1</v>
      </c>
      <c r="Q2" s="13">
        <v>61</v>
      </c>
      <c r="R2" s="13">
        <v>48</v>
      </c>
      <c r="S2" s="13">
        <v>76</v>
      </c>
      <c r="T2" s="9">
        <v>43101</v>
      </c>
      <c r="V2" s="14" t="s">
        <v>10</v>
      </c>
      <c r="W2" s="14"/>
      <c r="X2" s="14"/>
    </row>
    <row r="3" spans="1:24">
      <c r="A3" s="6">
        <v>1002</v>
      </c>
      <c r="B3" s="7" t="s">
        <v>11</v>
      </c>
      <c r="C3" s="7">
        <v>78</v>
      </c>
      <c r="D3" s="7">
        <v>76</v>
      </c>
      <c r="E3" s="7">
        <v>70</v>
      </c>
      <c r="F3" s="8">
        <v>43281</v>
      </c>
      <c r="H3" s="13">
        <v>1005</v>
      </c>
      <c r="I3" s="13" t="str">
        <v>Student 5</v>
      </c>
      <c r="J3" s="13">
        <v>68</v>
      </c>
      <c r="K3" s="13">
        <v>74</v>
      </c>
      <c r="L3" s="13">
        <v>84</v>
      </c>
      <c r="M3" s="19">
        <v>43821</v>
      </c>
      <c r="O3" s="13">
        <v>1002</v>
      </c>
      <c r="P3" s="13" t="str">
        <v>Student 2</v>
      </c>
      <c r="Q3" s="13">
        <v>78</v>
      </c>
      <c r="R3" s="13">
        <v>76</v>
      </c>
      <c r="S3" s="13">
        <v>70</v>
      </c>
      <c r="T3" s="9">
        <v>43281</v>
      </c>
      <c r="V3" s="10" cm="1">
        <f t="array" ref="V3:X21">_xlfn._xlws.FILTER(A2:C21,C2:C21&gt;60,"No students found")</f>
        <v>1001</v>
      </c>
      <c r="W3" s="10" t="str">
        <v>Student 1</v>
      </c>
      <c r="X3" s="10">
        <v>61</v>
      </c>
    </row>
    <row r="4" spans="1:24">
      <c r="A4" s="6">
        <v>1003</v>
      </c>
      <c r="B4" s="7" t="s">
        <v>12</v>
      </c>
      <c r="C4" s="7">
        <v>97</v>
      </c>
      <c r="D4" s="7">
        <v>60</v>
      </c>
      <c r="E4" s="7">
        <v>51</v>
      </c>
      <c r="F4" s="8">
        <v>43461</v>
      </c>
      <c r="H4" s="13">
        <v>1008</v>
      </c>
      <c r="I4" s="13" t="str">
        <v>Student 8</v>
      </c>
      <c r="J4" s="13">
        <v>94</v>
      </c>
      <c r="K4" s="13">
        <v>67</v>
      </c>
      <c r="L4" s="13">
        <v>64</v>
      </c>
      <c r="M4" s="19">
        <v>44361</v>
      </c>
      <c r="O4" s="13">
        <v>1003</v>
      </c>
      <c r="P4" s="13" t="str">
        <v>Student 3</v>
      </c>
      <c r="Q4" s="13">
        <v>97</v>
      </c>
      <c r="R4" s="13">
        <v>60</v>
      </c>
      <c r="S4" s="13">
        <v>51</v>
      </c>
      <c r="T4" s="9">
        <v>43461</v>
      </c>
      <c r="V4" s="10">
        <v>1002</v>
      </c>
      <c r="W4" s="10" t="str">
        <v>Student 2</v>
      </c>
      <c r="X4" s="10">
        <v>78</v>
      </c>
    </row>
    <row r="5" spans="1:24">
      <c r="A5" s="6">
        <v>1004</v>
      </c>
      <c r="B5" s="7" t="s">
        <v>13</v>
      </c>
      <c r="C5" s="7">
        <v>74</v>
      </c>
      <c r="D5" s="7">
        <v>55</v>
      </c>
      <c r="E5" s="7">
        <v>46</v>
      </c>
      <c r="F5" s="8">
        <v>43641</v>
      </c>
      <c r="H5" s="13">
        <v>1010</v>
      </c>
      <c r="I5" s="13" t="str">
        <v>Student 10</v>
      </c>
      <c r="J5" s="13">
        <v>98</v>
      </c>
      <c r="K5" s="13">
        <v>54</v>
      </c>
      <c r="L5" s="13">
        <v>58</v>
      </c>
      <c r="M5" s="19">
        <v>44721</v>
      </c>
      <c r="O5" s="13">
        <v>1004</v>
      </c>
      <c r="P5" s="13" t="str">
        <v>Student 4</v>
      </c>
      <c r="Q5" s="13">
        <v>74</v>
      </c>
      <c r="R5" s="13">
        <v>55</v>
      </c>
      <c r="S5" s="13">
        <v>46</v>
      </c>
      <c r="T5" s="9">
        <v>43641</v>
      </c>
      <c r="V5" s="10">
        <v>1003</v>
      </c>
      <c r="W5" s="10" t="str">
        <v>Student 3</v>
      </c>
      <c r="X5" s="10">
        <v>97</v>
      </c>
    </row>
    <row r="6" spans="1:24">
      <c r="A6" s="6">
        <v>1005</v>
      </c>
      <c r="B6" s="7" t="s">
        <v>14</v>
      </c>
      <c r="C6" s="7">
        <v>68</v>
      </c>
      <c r="D6" s="7">
        <v>74</v>
      </c>
      <c r="E6" s="7">
        <v>84</v>
      </c>
      <c r="F6" s="8">
        <v>43821</v>
      </c>
      <c r="H6" s="13">
        <v>1012</v>
      </c>
      <c r="I6" s="13" t="str">
        <v>Student 12</v>
      </c>
      <c r="J6" s="13">
        <v>85</v>
      </c>
      <c r="K6" s="13">
        <v>89</v>
      </c>
      <c r="L6" s="13">
        <v>79</v>
      </c>
      <c r="M6" s="19">
        <v>45081</v>
      </c>
      <c r="O6" s="13">
        <v>1005</v>
      </c>
      <c r="P6" s="13" t="str">
        <v>Student 5</v>
      </c>
      <c r="Q6" s="13">
        <v>68</v>
      </c>
      <c r="R6" s="13">
        <v>74</v>
      </c>
      <c r="S6" s="13">
        <v>84</v>
      </c>
      <c r="T6" s="9">
        <v>43821</v>
      </c>
      <c r="V6" s="10">
        <v>1004</v>
      </c>
      <c r="W6" s="10" t="str">
        <v>Student 4</v>
      </c>
      <c r="X6" s="10">
        <v>74</v>
      </c>
    </row>
    <row r="7" spans="1:24">
      <c r="A7" s="6">
        <v>1006</v>
      </c>
      <c r="B7" s="7" t="s">
        <v>15</v>
      </c>
      <c r="C7" s="7">
        <v>80</v>
      </c>
      <c r="D7" s="7">
        <v>70</v>
      </c>
      <c r="E7" s="7">
        <v>65</v>
      </c>
      <c r="F7" s="8">
        <v>44001</v>
      </c>
      <c r="H7" s="13">
        <v>1013</v>
      </c>
      <c r="I7" s="13" t="str">
        <v>Student 13</v>
      </c>
      <c r="J7" s="13">
        <v>98</v>
      </c>
      <c r="K7" s="13">
        <v>90</v>
      </c>
      <c r="L7" s="13">
        <v>97</v>
      </c>
      <c r="M7" s="19">
        <v>45261</v>
      </c>
      <c r="O7" s="13">
        <v>1006</v>
      </c>
      <c r="P7" s="13" t="str">
        <v>Student 6</v>
      </c>
      <c r="Q7" s="13">
        <v>80</v>
      </c>
      <c r="R7" s="13">
        <v>70</v>
      </c>
      <c r="S7" s="13">
        <v>65</v>
      </c>
      <c r="T7" s="9">
        <v>44001</v>
      </c>
      <c r="V7" s="10">
        <v>1005</v>
      </c>
      <c r="W7" s="10" t="str">
        <v>Student 5</v>
      </c>
      <c r="X7" s="10">
        <v>68</v>
      </c>
    </row>
    <row r="8" spans="1:24">
      <c r="A8" s="6">
        <v>1007</v>
      </c>
      <c r="B8" s="7" t="s">
        <v>16</v>
      </c>
      <c r="C8" s="7">
        <v>75</v>
      </c>
      <c r="D8" s="7">
        <v>47</v>
      </c>
      <c r="E8" s="7">
        <v>78</v>
      </c>
      <c r="F8" s="8">
        <v>44181</v>
      </c>
      <c r="H8" s="13">
        <v>1014</v>
      </c>
      <c r="I8" s="13" t="str">
        <v>Student 14</v>
      </c>
      <c r="J8" s="13">
        <v>93</v>
      </c>
      <c r="K8" s="13">
        <v>40</v>
      </c>
      <c r="L8" s="13">
        <v>44</v>
      </c>
      <c r="M8" s="19">
        <v>45441</v>
      </c>
      <c r="N8" t="s">
        <v>17</v>
      </c>
      <c r="O8" s="13">
        <v>1007</v>
      </c>
      <c r="P8" s="13" t="str">
        <v>Student 7</v>
      </c>
      <c r="Q8" s="13">
        <v>75</v>
      </c>
      <c r="R8" s="13">
        <v>47</v>
      </c>
      <c r="S8" s="13">
        <v>78</v>
      </c>
      <c r="T8" s="9">
        <v>44181</v>
      </c>
      <c r="V8" s="10">
        <v>1006</v>
      </c>
      <c r="W8" s="10" t="str">
        <v>Student 6</v>
      </c>
      <c r="X8" s="10">
        <v>80</v>
      </c>
    </row>
    <row r="9" spans="1:24">
      <c r="A9" s="6">
        <v>1008</v>
      </c>
      <c r="B9" s="7" t="s">
        <v>18</v>
      </c>
      <c r="C9" s="7">
        <v>94</v>
      </c>
      <c r="D9" s="7">
        <v>67</v>
      </c>
      <c r="E9" s="7">
        <v>64</v>
      </c>
      <c r="F9" s="8">
        <v>44361</v>
      </c>
      <c r="H9" s="13">
        <v>1016</v>
      </c>
      <c r="I9" s="13" t="str">
        <v>Student 16</v>
      </c>
      <c r="J9" s="13">
        <v>98</v>
      </c>
      <c r="K9" s="13">
        <v>77</v>
      </c>
      <c r="L9" s="13">
        <v>60</v>
      </c>
      <c r="M9" s="19">
        <v>45801</v>
      </c>
      <c r="O9" s="13">
        <v>1008</v>
      </c>
      <c r="P9" s="13" t="str">
        <v>Student 8</v>
      </c>
      <c r="Q9" s="13">
        <v>94</v>
      </c>
      <c r="R9" s="13">
        <v>67</v>
      </c>
      <c r="S9" s="13">
        <v>64</v>
      </c>
      <c r="T9" s="9">
        <v>44361</v>
      </c>
      <c r="V9" s="10">
        <v>1007</v>
      </c>
      <c r="W9" s="10" t="str">
        <v>Student 7</v>
      </c>
      <c r="X9" s="10">
        <v>75</v>
      </c>
    </row>
    <row r="10" spans="1:24">
      <c r="A10" s="6">
        <v>1009</v>
      </c>
      <c r="B10" s="7" t="s">
        <v>19</v>
      </c>
      <c r="C10" s="7">
        <v>41</v>
      </c>
      <c r="D10" s="7">
        <v>75</v>
      </c>
      <c r="E10" s="7">
        <v>56</v>
      </c>
      <c r="F10" s="8">
        <v>44541</v>
      </c>
      <c r="H10" s="13">
        <v>1018</v>
      </c>
      <c r="I10" s="13" t="str">
        <v>Student 18</v>
      </c>
      <c r="J10" s="13">
        <v>82</v>
      </c>
      <c r="K10" s="13">
        <v>48</v>
      </c>
      <c r="L10" s="13">
        <v>79</v>
      </c>
      <c r="M10" s="19">
        <v>46161</v>
      </c>
      <c r="O10" s="13">
        <v>1010</v>
      </c>
      <c r="P10" s="13" t="str">
        <v>Student 10</v>
      </c>
      <c r="Q10" s="13">
        <v>98</v>
      </c>
      <c r="R10" s="13">
        <v>54</v>
      </c>
      <c r="S10" s="13">
        <v>58</v>
      </c>
      <c r="T10" s="9">
        <v>44721</v>
      </c>
      <c r="V10" s="10">
        <v>1008</v>
      </c>
      <c r="W10" s="10" t="str">
        <v>Student 8</v>
      </c>
      <c r="X10" s="10">
        <v>94</v>
      </c>
    </row>
    <row r="11" spans="1:24">
      <c r="A11" s="6">
        <v>1010</v>
      </c>
      <c r="B11" s="7" t="s">
        <v>20</v>
      </c>
      <c r="C11" s="7">
        <v>98</v>
      </c>
      <c r="D11" s="7">
        <v>54</v>
      </c>
      <c r="E11" s="7">
        <v>58</v>
      </c>
      <c r="F11" s="8">
        <v>44721</v>
      </c>
      <c r="H11" s="13">
        <v>1019</v>
      </c>
      <c r="I11" s="13" t="str">
        <v>Student 19</v>
      </c>
      <c r="J11" s="13">
        <v>90</v>
      </c>
      <c r="K11" s="13">
        <v>78</v>
      </c>
      <c r="L11" s="13">
        <v>60</v>
      </c>
      <c r="M11" s="19">
        <v>46341</v>
      </c>
      <c r="O11" s="13">
        <v>1011</v>
      </c>
      <c r="P11" s="13" t="str">
        <v>Student 11</v>
      </c>
      <c r="Q11" s="13">
        <v>73</v>
      </c>
      <c r="R11" s="13">
        <v>79</v>
      </c>
      <c r="S11" s="13">
        <v>53</v>
      </c>
      <c r="T11" s="9">
        <v>44901</v>
      </c>
      <c r="V11" s="10">
        <v>1010</v>
      </c>
      <c r="W11" s="10" t="str">
        <v>Student 10</v>
      </c>
      <c r="X11" s="10">
        <v>98</v>
      </c>
    </row>
    <row r="12" spans="1:24">
      <c r="A12" s="6">
        <v>1011</v>
      </c>
      <c r="B12" s="7" t="s">
        <v>21</v>
      </c>
      <c r="C12" s="7">
        <v>73</v>
      </c>
      <c r="D12" s="7">
        <v>79</v>
      </c>
      <c r="E12" s="7">
        <v>53</v>
      </c>
      <c r="F12" s="8">
        <v>44901</v>
      </c>
      <c r="H12" s="13">
        <v>1020</v>
      </c>
      <c r="I12" s="13" t="str">
        <v>Student 20</v>
      </c>
      <c r="J12" s="13">
        <v>83</v>
      </c>
      <c r="K12" s="13">
        <v>92</v>
      </c>
      <c r="L12" s="13">
        <v>55</v>
      </c>
      <c r="M12" s="19">
        <v>46521</v>
      </c>
      <c r="O12" s="13">
        <v>1012</v>
      </c>
      <c r="P12" s="13" t="str">
        <v>Student 12</v>
      </c>
      <c r="Q12" s="13">
        <v>85</v>
      </c>
      <c r="R12" s="13">
        <v>89</v>
      </c>
      <c r="S12" s="13">
        <v>79</v>
      </c>
      <c r="T12" s="9">
        <v>45081</v>
      </c>
      <c r="V12" s="10">
        <v>1011</v>
      </c>
      <c r="W12" s="10" t="str">
        <v>Student 11</v>
      </c>
      <c r="X12" s="10">
        <v>73</v>
      </c>
    </row>
    <row r="13" spans="1:24">
      <c r="A13" s="6">
        <v>1012</v>
      </c>
      <c r="B13" s="7" t="s">
        <v>22</v>
      </c>
      <c r="C13" s="7">
        <v>85</v>
      </c>
      <c r="D13" s="7">
        <v>89</v>
      </c>
      <c r="E13" s="7">
        <v>79</v>
      </c>
      <c r="F13" s="8">
        <v>45081</v>
      </c>
      <c r="O13" s="13">
        <v>1013</v>
      </c>
      <c r="P13" s="13" t="str">
        <v>Student 13</v>
      </c>
      <c r="Q13" s="13">
        <v>98</v>
      </c>
      <c r="R13" s="13">
        <v>90</v>
      </c>
      <c r="S13" s="13">
        <v>97</v>
      </c>
      <c r="T13" s="9">
        <v>45261</v>
      </c>
      <c r="V13" s="10">
        <v>1012</v>
      </c>
      <c r="W13" s="10" t="str">
        <v>Student 12</v>
      </c>
      <c r="X13" s="10">
        <v>85</v>
      </c>
    </row>
    <row r="14" spans="1:24">
      <c r="A14" s="6">
        <v>1013</v>
      </c>
      <c r="B14" s="7" t="s">
        <v>23</v>
      </c>
      <c r="C14" s="7">
        <v>98</v>
      </c>
      <c r="D14" s="7">
        <v>90</v>
      </c>
      <c r="E14" s="7">
        <v>97</v>
      </c>
      <c r="F14" s="8">
        <v>45261</v>
      </c>
      <c r="J14" t="s">
        <v>17</v>
      </c>
      <c r="O14" s="13">
        <v>1014</v>
      </c>
      <c r="P14" s="13" t="str">
        <v>Student 14</v>
      </c>
      <c r="Q14" s="13">
        <v>93</v>
      </c>
      <c r="R14" s="13">
        <v>40</v>
      </c>
      <c r="S14" s="13">
        <v>44</v>
      </c>
      <c r="T14" s="9">
        <v>45441</v>
      </c>
      <c r="V14" s="10">
        <v>1013</v>
      </c>
      <c r="W14" s="10" t="str">
        <v>Student 13</v>
      </c>
      <c r="X14" s="10">
        <v>98</v>
      </c>
    </row>
    <row r="15" spans="1:24">
      <c r="A15" s="6">
        <v>1014</v>
      </c>
      <c r="B15" s="7" t="s">
        <v>24</v>
      </c>
      <c r="C15" s="7">
        <v>93</v>
      </c>
      <c r="D15" s="7">
        <v>40</v>
      </c>
      <c r="E15" s="7">
        <v>44</v>
      </c>
      <c r="F15" s="8">
        <v>45441</v>
      </c>
      <c r="O15" s="13">
        <v>1015</v>
      </c>
      <c r="P15" s="13" t="str">
        <v>Student 15</v>
      </c>
      <c r="Q15" s="13">
        <v>70</v>
      </c>
      <c r="R15" s="13">
        <v>51</v>
      </c>
      <c r="S15" s="13">
        <v>75</v>
      </c>
      <c r="T15" s="9">
        <v>45621</v>
      </c>
      <c r="V15" s="10">
        <v>1014</v>
      </c>
      <c r="W15" s="10" t="str">
        <v>Student 14</v>
      </c>
      <c r="X15" s="10">
        <v>93</v>
      </c>
    </row>
    <row r="16" spans="1:24">
      <c r="A16" s="6">
        <v>1015</v>
      </c>
      <c r="B16" s="7" t="s">
        <v>25</v>
      </c>
      <c r="C16" s="7">
        <v>70</v>
      </c>
      <c r="D16" s="7">
        <v>51</v>
      </c>
      <c r="E16" s="7">
        <v>75</v>
      </c>
      <c r="F16" s="8">
        <v>45621</v>
      </c>
      <c r="O16" s="13">
        <v>1016</v>
      </c>
      <c r="P16" s="13" t="str">
        <v>Student 16</v>
      </c>
      <c r="Q16" s="13">
        <v>98</v>
      </c>
      <c r="R16" s="13">
        <v>77</v>
      </c>
      <c r="S16" s="13">
        <v>60</v>
      </c>
      <c r="T16" s="9">
        <v>45801</v>
      </c>
      <c r="V16" s="10">
        <v>1015</v>
      </c>
      <c r="W16" s="10" t="str">
        <v>Student 15</v>
      </c>
      <c r="X16" s="10">
        <v>70</v>
      </c>
    </row>
    <row r="17" spans="1:24">
      <c r="A17" s="6">
        <v>1016</v>
      </c>
      <c r="B17" s="7" t="s">
        <v>26</v>
      </c>
      <c r="C17" s="7">
        <v>98</v>
      </c>
      <c r="D17" s="7">
        <v>77</v>
      </c>
      <c r="E17" s="7">
        <v>60</v>
      </c>
      <c r="F17" s="8">
        <v>45801</v>
      </c>
      <c r="O17" s="13">
        <v>1017</v>
      </c>
      <c r="P17" s="13" t="str">
        <v>Student 17</v>
      </c>
      <c r="Q17" s="13">
        <v>66</v>
      </c>
      <c r="R17" s="13">
        <v>59</v>
      </c>
      <c r="S17" s="13">
        <v>40</v>
      </c>
      <c r="T17" s="9">
        <v>45981</v>
      </c>
      <c r="V17" s="10">
        <v>1016</v>
      </c>
      <c r="W17" s="10" t="str">
        <v>Student 16</v>
      </c>
      <c r="X17" s="10">
        <v>98</v>
      </c>
    </row>
    <row r="18" spans="1:24">
      <c r="A18" s="6">
        <v>1017</v>
      </c>
      <c r="B18" s="7" t="s">
        <v>27</v>
      </c>
      <c r="C18" s="7">
        <v>66</v>
      </c>
      <c r="D18" s="7">
        <v>59</v>
      </c>
      <c r="E18" s="7">
        <v>40</v>
      </c>
      <c r="F18" s="8">
        <v>45981</v>
      </c>
      <c r="O18" s="13">
        <v>1018</v>
      </c>
      <c r="P18" s="13" t="str">
        <v>Student 18</v>
      </c>
      <c r="Q18" s="13">
        <v>82</v>
      </c>
      <c r="R18" s="13">
        <v>48</v>
      </c>
      <c r="S18" s="13">
        <v>79</v>
      </c>
      <c r="T18" s="9">
        <v>46161</v>
      </c>
      <c r="V18" s="10">
        <v>1017</v>
      </c>
      <c r="W18" s="10" t="str">
        <v>Student 17</v>
      </c>
      <c r="X18" s="10">
        <v>66</v>
      </c>
    </row>
    <row r="19" spans="1:24">
      <c r="A19" s="6">
        <v>1018</v>
      </c>
      <c r="B19" s="7" t="s">
        <v>28</v>
      </c>
      <c r="C19" s="7">
        <v>82</v>
      </c>
      <c r="D19" s="7">
        <v>48</v>
      </c>
      <c r="E19" s="7">
        <v>79</v>
      </c>
      <c r="F19" s="8">
        <v>46161</v>
      </c>
      <c r="O19" s="13">
        <v>1019</v>
      </c>
      <c r="P19" s="13" t="str">
        <v>Student 19</v>
      </c>
      <c r="Q19" s="13">
        <v>90</v>
      </c>
      <c r="R19" s="13">
        <v>78</v>
      </c>
      <c r="S19" s="13">
        <v>60</v>
      </c>
      <c r="T19" s="9">
        <v>46341</v>
      </c>
      <c r="V19" s="10">
        <v>1018</v>
      </c>
      <c r="W19" s="10" t="str">
        <v>Student 18</v>
      </c>
      <c r="X19" s="10">
        <v>82</v>
      </c>
    </row>
    <row r="20" spans="1:24">
      <c r="A20" s="6">
        <v>1019</v>
      </c>
      <c r="B20" s="7" t="s">
        <v>29</v>
      </c>
      <c r="C20" s="7">
        <v>90</v>
      </c>
      <c r="D20" s="7">
        <v>78</v>
      </c>
      <c r="E20" s="7">
        <v>60</v>
      </c>
      <c r="F20" s="8">
        <v>46341</v>
      </c>
      <c r="O20" s="13">
        <v>1020</v>
      </c>
      <c r="P20" s="13" t="str">
        <v>Student 20</v>
      </c>
      <c r="Q20" s="13">
        <v>83</v>
      </c>
      <c r="R20" s="13">
        <v>92</v>
      </c>
      <c r="S20" s="13">
        <v>55</v>
      </c>
      <c r="T20" s="9">
        <v>46521</v>
      </c>
      <c r="V20" s="10">
        <v>1019</v>
      </c>
      <c r="W20" s="10" t="str">
        <v>Student 19</v>
      </c>
      <c r="X20" s="10">
        <v>90</v>
      </c>
    </row>
    <row r="21" spans="1:24">
      <c r="A21" s="6">
        <v>1020</v>
      </c>
      <c r="B21" s="7" t="s">
        <v>30</v>
      </c>
      <c r="C21" s="7">
        <v>83</v>
      </c>
      <c r="D21" s="7">
        <v>92</v>
      </c>
      <c r="E21" s="7">
        <v>55</v>
      </c>
      <c r="F21" s="8">
        <v>46521</v>
      </c>
      <c r="V21" s="10">
        <v>1020</v>
      </c>
      <c r="W21" s="10" t="str">
        <v>Student 20</v>
      </c>
      <c r="X21" s="10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22400-D534-45E0-ABFC-2E3E385FB91E}">
  <dimension ref="A1:AB21"/>
  <sheetViews>
    <sheetView topLeftCell="S1" workbookViewId="0">
      <selection activeCell="U8" sqref="U8"/>
    </sheetView>
  </sheetViews>
  <sheetFormatPr defaultRowHeight="15"/>
  <cols>
    <col min="4" max="4" width="10.7109375" customWidth="1"/>
    <col min="5" max="5" width="12.42578125" bestFit="1" customWidth="1"/>
    <col min="6" max="6" width="11.85546875" customWidth="1"/>
    <col min="8" max="8" width="12.42578125" customWidth="1"/>
    <col min="9" max="9" width="18.28515625" customWidth="1"/>
    <col min="11" max="11" width="13.140625" customWidth="1"/>
    <col min="14" max="14" width="13.140625" customWidth="1"/>
    <col min="15" max="15" width="13.5703125" customWidth="1"/>
    <col min="18" max="18" width="15.140625" customWidth="1"/>
    <col min="19" max="19" width="10.85546875" customWidth="1"/>
    <col min="20" max="20" width="11" customWidth="1"/>
    <col min="21" max="21" width="10.5703125" customWidth="1"/>
    <col min="23" max="23" width="10.28515625" customWidth="1"/>
  </cols>
  <sheetData>
    <row r="1" spans="1:28">
      <c r="A1" s="2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H1" s="17" t="s">
        <v>37</v>
      </c>
      <c r="I1" s="17" t="s">
        <v>38</v>
      </c>
      <c r="J1" s="17" t="s">
        <v>39</v>
      </c>
      <c r="K1" s="17" t="s">
        <v>40</v>
      </c>
      <c r="L1" s="17" t="s">
        <v>41</v>
      </c>
      <c r="M1" s="17" t="s">
        <v>42</v>
      </c>
      <c r="N1" s="17" t="s">
        <v>43</v>
      </c>
      <c r="O1" s="17" t="s">
        <v>44</v>
      </c>
      <c r="P1" s="17" t="s">
        <v>45</v>
      </c>
      <c r="R1" s="12" t="s">
        <v>46</v>
      </c>
      <c r="S1" s="20"/>
      <c r="T1" s="12" t="s">
        <v>47</v>
      </c>
      <c r="U1" s="12"/>
      <c r="W1" s="12" t="s">
        <v>48</v>
      </c>
      <c r="X1" s="12" t="s">
        <v>49</v>
      </c>
      <c r="Y1" s="12" t="s">
        <v>50</v>
      </c>
      <c r="Z1" s="12" t="s">
        <v>51</v>
      </c>
      <c r="AA1" s="12" t="s">
        <v>52</v>
      </c>
      <c r="AB1" s="12" t="s">
        <v>53</v>
      </c>
    </row>
    <row r="2" spans="1:28">
      <c r="A2" s="6">
        <v>2001</v>
      </c>
      <c r="B2" s="7" t="s">
        <v>54</v>
      </c>
      <c r="C2" s="7" t="s">
        <v>55</v>
      </c>
      <c r="D2" s="7" t="s">
        <v>56</v>
      </c>
      <c r="E2" s="15">
        <v>7048</v>
      </c>
      <c r="F2" s="16">
        <v>44927</v>
      </c>
      <c r="H2" s="18">
        <f>ROUND(E2,0)</f>
        <v>7048</v>
      </c>
      <c r="I2" s="13">
        <f>CEILING(E2,100)</f>
        <v>7100</v>
      </c>
      <c r="J2" s="13">
        <f>FLOOR(E2,100)</f>
        <v>7000</v>
      </c>
      <c r="K2" s="13">
        <f>INDEX($E$2:$E$21,MATCH(D2,$D$2:$D$21,0))</f>
        <v>7048</v>
      </c>
      <c r="L2" s="13" cm="1">
        <f t="array" aca="1" ref="L2" ca="1">INDIRECT("E"&amp;ROW(E2))</f>
        <v>7048</v>
      </c>
      <c r="M2" s="13">
        <f ca="1">OFFSET(E2,1,0)</f>
        <v>17428</v>
      </c>
      <c r="N2" s="13" t="s">
        <v>57</v>
      </c>
      <c r="O2" s="13">
        <f>_xlfn.XLOOKUP(N2,D2:D21,E2:E21,"Not Found")</f>
        <v>7048</v>
      </c>
      <c r="P2" s="13">
        <f>_xlfn.XMATCH(B4,B2:B21,0)</f>
        <v>3</v>
      </c>
      <c r="R2" s="21" t="s">
        <v>58</v>
      </c>
      <c r="S2" s="22" t="s">
        <v>59</v>
      </c>
      <c r="T2" s="21" t="s">
        <v>60</v>
      </c>
      <c r="U2" s="21" t="s">
        <v>61</v>
      </c>
      <c r="W2" s="13" t="str">
        <f>UPPER(B2)</f>
        <v>KEYBOARD</v>
      </c>
      <c r="X2" s="13" t="str">
        <f>LOWER(B2)</f>
        <v>keyboard</v>
      </c>
      <c r="Y2" s="13" t="str">
        <f>PROPER(W2)</f>
        <v>Keyboard</v>
      </c>
      <c r="Z2" s="13" t="str">
        <f>LEFT(W2,3)</f>
        <v>KEY</v>
      </c>
      <c r="AA2" s="13" t="str">
        <f>RIGHT(W2,5)</f>
        <v>BOARD</v>
      </c>
      <c r="AB2" s="13">
        <f>FIND(" ",D2)</f>
        <v>7</v>
      </c>
    </row>
    <row r="3" spans="1:28">
      <c r="A3" s="6">
        <v>2002</v>
      </c>
      <c r="B3" s="7" t="s">
        <v>62</v>
      </c>
      <c r="C3" s="7" t="s">
        <v>63</v>
      </c>
      <c r="D3" s="7" t="s">
        <v>64</v>
      </c>
      <c r="E3" s="15">
        <v>17428</v>
      </c>
      <c r="F3" s="16">
        <v>44942</v>
      </c>
      <c r="H3" s="18">
        <f t="shared" ref="H3:H21" si="0">ROUND(E3,0)</f>
        <v>17428</v>
      </c>
      <c r="I3" s="13">
        <f t="shared" ref="I3:I21" si="1">CEILING(E3,100)</f>
        <v>17500</v>
      </c>
      <c r="J3" s="13">
        <f t="shared" ref="J3:J21" si="2">FLOOR(E3,100)</f>
        <v>17400</v>
      </c>
      <c r="K3" s="13">
        <f t="shared" ref="K3:K21" si="3">INDEX($E$2:$E$21,MATCH(D3,$D$2:$D$21,0))</f>
        <v>17428</v>
      </c>
      <c r="L3" s="13" cm="1">
        <f t="array" aca="1" ref="L3" ca="1">INDIRECT("E"&amp;ROW(E3))</f>
        <v>17428</v>
      </c>
      <c r="M3" s="13">
        <f t="shared" ref="M3:M21" ca="1" si="4">OFFSET(E3,1,0)</f>
        <v>23672</v>
      </c>
      <c r="N3" s="13" t="s">
        <v>65</v>
      </c>
      <c r="O3" s="13">
        <f t="shared" ref="O3:O21" si="5">_xlfn.XLOOKUP(N3,D3:D22,E3:E22,"Not Found")</f>
        <v>17428</v>
      </c>
      <c r="P3" s="13">
        <f t="shared" ref="P3:P21" si="6">_xlfn.XMATCH(B5,B3:B22,0)</f>
        <v>1</v>
      </c>
      <c r="R3" s="21" t="s">
        <v>60</v>
      </c>
      <c r="S3" s="22" t="s">
        <v>61</v>
      </c>
      <c r="T3" s="21" t="s">
        <v>66</v>
      </c>
      <c r="U3" s="13">
        <f>VLOOKUP(U2,B2:E21,4,FALSE)</f>
        <v>7048</v>
      </c>
      <c r="W3" s="13" t="str">
        <f t="shared" ref="W3:W20" si="7">UPPER(B3)</f>
        <v>PRINTER</v>
      </c>
      <c r="X3" s="13" t="str">
        <f t="shared" ref="X3:X20" si="8">LOWER(B3)</f>
        <v>printer</v>
      </c>
      <c r="Y3" s="13" t="str">
        <f t="shared" ref="Y3:Y20" si="9">PROPER(W3)</f>
        <v>Printer</v>
      </c>
      <c r="Z3" s="13" t="str">
        <f t="shared" ref="Z3:Z20" si="10">LEFT(W3,3)</f>
        <v>PRI</v>
      </c>
      <c r="AA3" s="13" t="str">
        <f t="shared" ref="AA3:AA20" si="11">RIGHT(W3,5)</f>
        <v>INTER</v>
      </c>
      <c r="AB3" s="13">
        <f t="shared" ref="AB3:AB20" si="12">FIND(" ",D3)</f>
        <v>7</v>
      </c>
    </row>
    <row r="4" spans="1:28">
      <c r="A4" s="6">
        <v>2003</v>
      </c>
      <c r="B4" s="7" t="s">
        <v>67</v>
      </c>
      <c r="C4" s="7" t="s">
        <v>55</v>
      </c>
      <c r="D4" s="7" t="s">
        <v>68</v>
      </c>
      <c r="E4" s="15">
        <v>23672</v>
      </c>
      <c r="F4" s="16">
        <v>44957</v>
      </c>
      <c r="H4" s="18">
        <f t="shared" si="0"/>
        <v>23672</v>
      </c>
      <c r="I4" s="13">
        <f t="shared" si="1"/>
        <v>23700</v>
      </c>
      <c r="J4" s="13">
        <f t="shared" si="2"/>
        <v>23600</v>
      </c>
      <c r="K4" s="13">
        <f t="shared" si="3"/>
        <v>23672</v>
      </c>
      <c r="L4" s="13" cm="1">
        <f t="array" aca="1" ref="L4" ca="1">INDIRECT("E"&amp;ROW(E4))</f>
        <v>23672</v>
      </c>
      <c r="M4" s="13">
        <f t="shared" ca="1" si="4"/>
        <v>5264</v>
      </c>
      <c r="N4" s="13" t="s">
        <v>69</v>
      </c>
      <c r="O4" s="13">
        <f t="shared" si="5"/>
        <v>23672</v>
      </c>
      <c r="P4" s="13">
        <f t="shared" si="6"/>
        <v>3</v>
      </c>
      <c r="R4" s="21" t="s">
        <v>70</v>
      </c>
      <c r="S4" s="13">
        <f>SUMIFS(E2:E21,C2:C21,S2,B2:B21,S3)</f>
        <v>42233</v>
      </c>
      <c r="T4" s="23"/>
      <c r="U4" s="23"/>
      <c r="W4" s="13" t="str">
        <f t="shared" si="7"/>
        <v>MOUSE</v>
      </c>
      <c r="X4" s="13" t="str">
        <f t="shared" si="8"/>
        <v>mouse</v>
      </c>
      <c r="Y4" s="13" t="str">
        <f t="shared" si="9"/>
        <v>Mouse</v>
      </c>
      <c r="Z4" s="13" t="str">
        <f t="shared" si="10"/>
        <v>MOU</v>
      </c>
      <c r="AA4" s="13" t="str">
        <f t="shared" si="11"/>
        <v>MOUSE</v>
      </c>
      <c r="AB4" s="13">
        <f t="shared" si="12"/>
        <v>7</v>
      </c>
    </row>
    <row r="5" spans="1:28">
      <c r="A5" s="6">
        <v>2004</v>
      </c>
      <c r="B5" s="7" t="s">
        <v>62</v>
      </c>
      <c r="C5" s="7" t="s">
        <v>71</v>
      </c>
      <c r="D5" s="7" t="s">
        <v>72</v>
      </c>
      <c r="E5" s="15">
        <v>5264</v>
      </c>
      <c r="F5" s="16">
        <v>44972</v>
      </c>
      <c r="H5" s="18">
        <f t="shared" si="0"/>
        <v>5264</v>
      </c>
      <c r="I5" s="13">
        <f t="shared" si="1"/>
        <v>5300</v>
      </c>
      <c r="J5" s="13">
        <f t="shared" si="2"/>
        <v>5200</v>
      </c>
      <c r="K5" s="13">
        <f t="shared" si="3"/>
        <v>5264</v>
      </c>
      <c r="L5" s="13" cm="1">
        <f t="array" aca="1" ref="L5" ca="1">INDIRECT("E"&amp;ROW(E5))</f>
        <v>5264</v>
      </c>
      <c r="M5" s="13">
        <f t="shared" ca="1" si="4"/>
        <v>43388</v>
      </c>
      <c r="N5" s="13" t="s">
        <v>73</v>
      </c>
      <c r="O5" s="13">
        <f t="shared" si="5"/>
        <v>5264</v>
      </c>
      <c r="P5" s="13">
        <f t="shared" si="6"/>
        <v>3</v>
      </c>
      <c r="W5" s="13" t="str">
        <f t="shared" si="7"/>
        <v>PRINTER</v>
      </c>
      <c r="X5" s="13" t="str">
        <f t="shared" si="8"/>
        <v>printer</v>
      </c>
      <c r="Y5" s="13" t="str">
        <f t="shared" si="9"/>
        <v>Printer</v>
      </c>
      <c r="Z5" s="13" t="str">
        <f t="shared" si="10"/>
        <v>PRI</v>
      </c>
      <c r="AA5" s="13" t="str">
        <f t="shared" si="11"/>
        <v>INTER</v>
      </c>
      <c r="AB5" s="13">
        <f t="shared" si="12"/>
        <v>7</v>
      </c>
    </row>
    <row r="6" spans="1:28">
      <c r="A6" s="6">
        <v>2005</v>
      </c>
      <c r="B6" s="7" t="s">
        <v>54</v>
      </c>
      <c r="C6" s="7" t="s">
        <v>74</v>
      </c>
      <c r="D6" s="7" t="s">
        <v>75</v>
      </c>
      <c r="E6" s="15">
        <v>43388</v>
      </c>
      <c r="F6" s="16">
        <v>44987</v>
      </c>
      <c r="H6" s="18">
        <f t="shared" si="0"/>
        <v>43388</v>
      </c>
      <c r="I6" s="13">
        <f t="shared" si="1"/>
        <v>43400</v>
      </c>
      <c r="J6" s="13">
        <f t="shared" si="2"/>
        <v>43300</v>
      </c>
      <c r="K6" s="13">
        <f t="shared" si="3"/>
        <v>43388</v>
      </c>
      <c r="L6" s="13" cm="1">
        <f t="array" aca="1" ref="L6" ca="1">INDIRECT("E"&amp;ROW(E6))</f>
        <v>43388</v>
      </c>
      <c r="M6" s="13">
        <f t="shared" ca="1" si="4"/>
        <v>19757</v>
      </c>
      <c r="N6" s="13" t="s">
        <v>76</v>
      </c>
      <c r="O6" s="13">
        <f t="shared" si="5"/>
        <v>43388</v>
      </c>
      <c r="P6" s="13">
        <f t="shared" si="6"/>
        <v>2</v>
      </c>
      <c r="W6" s="13" t="str">
        <f t="shared" si="7"/>
        <v>KEYBOARD</v>
      </c>
      <c r="X6" s="13" t="str">
        <f t="shared" si="8"/>
        <v>keyboard</v>
      </c>
      <c r="Y6" s="13" t="str">
        <f t="shared" si="9"/>
        <v>Keyboard</v>
      </c>
      <c r="Z6" s="13" t="str">
        <f t="shared" si="10"/>
        <v>KEY</v>
      </c>
      <c r="AA6" s="13" t="str">
        <f t="shared" si="11"/>
        <v>BOARD</v>
      </c>
      <c r="AB6" s="13">
        <f t="shared" si="12"/>
        <v>7</v>
      </c>
    </row>
    <row r="7" spans="1:28">
      <c r="A7" s="6">
        <v>2006</v>
      </c>
      <c r="B7" s="7" t="s">
        <v>67</v>
      </c>
      <c r="C7" s="7" t="s">
        <v>74</v>
      </c>
      <c r="D7" s="7" t="s">
        <v>77</v>
      </c>
      <c r="E7" s="15">
        <v>19757</v>
      </c>
      <c r="F7" s="16">
        <v>45002</v>
      </c>
      <c r="H7" s="18">
        <f t="shared" si="0"/>
        <v>19757</v>
      </c>
      <c r="I7" s="13">
        <f t="shared" si="1"/>
        <v>19800</v>
      </c>
      <c r="J7" s="13">
        <f t="shared" si="2"/>
        <v>19700</v>
      </c>
      <c r="K7" s="13">
        <f t="shared" si="3"/>
        <v>19757</v>
      </c>
      <c r="L7" s="13" cm="1">
        <f t="array" aca="1" ref="L7" ca="1">INDIRECT("E"&amp;ROW(E7))</f>
        <v>19757</v>
      </c>
      <c r="M7" s="13">
        <f t="shared" ca="1" si="4"/>
        <v>32058</v>
      </c>
      <c r="N7" s="13" t="s">
        <v>78</v>
      </c>
      <c r="O7" s="13">
        <f t="shared" si="5"/>
        <v>19757</v>
      </c>
      <c r="P7" s="13">
        <f t="shared" si="6"/>
        <v>3</v>
      </c>
      <c r="W7" s="13" t="str">
        <f t="shared" si="7"/>
        <v>MOUSE</v>
      </c>
      <c r="X7" s="13" t="str">
        <f t="shared" si="8"/>
        <v>mouse</v>
      </c>
      <c r="Y7" s="13" t="str">
        <f t="shared" si="9"/>
        <v>Mouse</v>
      </c>
      <c r="Z7" s="13" t="str">
        <f t="shared" si="10"/>
        <v>MOU</v>
      </c>
      <c r="AA7" s="13" t="str">
        <f t="shared" si="11"/>
        <v>MOUSE</v>
      </c>
      <c r="AB7" s="13">
        <f t="shared" si="12"/>
        <v>7</v>
      </c>
    </row>
    <row r="8" spans="1:28">
      <c r="A8" s="6">
        <v>2007</v>
      </c>
      <c r="B8" s="7" t="s">
        <v>67</v>
      </c>
      <c r="C8" s="7" t="s">
        <v>71</v>
      </c>
      <c r="D8" s="7" t="s">
        <v>79</v>
      </c>
      <c r="E8" s="15">
        <v>32058</v>
      </c>
      <c r="F8" s="16">
        <v>45017</v>
      </c>
      <c r="H8" s="18">
        <f t="shared" si="0"/>
        <v>32058</v>
      </c>
      <c r="I8" s="13">
        <f t="shared" si="1"/>
        <v>32100</v>
      </c>
      <c r="J8" s="13">
        <f t="shared" si="2"/>
        <v>32000</v>
      </c>
      <c r="K8" s="13">
        <f t="shared" si="3"/>
        <v>32058</v>
      </c>
      <c r="L8" s="13" cm="1">
        <f t="array" aca="1" ref="L8" ca="1">INDIRECT("E"&amp;ROW(E8))</f>
        <v>32058</v>
      </c>
      <c r="M8" s="13">
        <f t="shared" ca="1" si="4"/>
        <v>46429</v>
      </c>
      <c r="N8" s="13" t="s">
        <v>80</v>
      </c>
      <c r="O8" s="13">
        <f t="shared" si="5"/>
        <v>32058</v>
      </c>
      <c r="P8" s="13">
        <f t="shared" si="6"/>
        <v>3</v>
      </c>
      <c r="W8" s="13" t="str">
        <f t="shared" si="7"/>
        <v>MOUSE</v>
      </c>
      <c r="X8" s="13" t="str">
        <f t="shared" si="8"/>
        <v>mouse</v>
      </c>
      <c r="Y8" s="13" t="str">
        <f t="shared" si="9"/>
        <v>Mouse</v>
      </c>
      <c r="Z8" s="13" t="str">
        <f t="shared" si="10"/>
        <v>MOU</v>
      </c>
      <c r="AA8" s="13" t="str">
        <f t="shared" si="11"/>
        <v>MOUSE</v>
      </c>
      <c r="AB8" s="13">
        <f t="shared" si="12"/>
        <v>7</v>
      </c>
    </row>
    <row r="9" spans="1:28">
      <c r="A9" s="6">
        <v>2008</v>
      </c>
      <c r="B9" s="7" t="s">
        <v>54</v>
      </c>
      <c r="C9" s="7" t="s">
        <v>71</v>
      </c>
      <c r="D9" s="7" t="s">
        <v>81</v>
      </c>
      <c r="E9" s="15">
        <v>46429</v>
      </c>
      <c r="F9" s="16">
        <v>45032</v>
      </c>
      <c r="H9" s="18">
        <f t="shared" si="0"/>
        <v>46429</v>
      </c>
      <c r="I9" s="13">
        <f t="shared" si="1"/>
        <v>46500</v>
      </c>
      <c r="J9" s="13">
        <f t="shared" si="2"/>
        <v>46400</v>
      </c>
      <c r="K9" s="13">
        <f t="shared" si="3"/>
        <v>46429</v>
      </c>
      <c r="L9" s="13" cm="1">
        <f t="array" aca="1" ref="L9" ca="1">INDIRECT("E"&amp;ROW(E9))</f>
        <v>46429</v>
      </c>
      <c r="M9" s="13">
        <f t="shared" ca="1" si="4"/>
        <v>19746</v>
      </c>
      <c r="N9" s="13" t="s">
        <v>82</v>
      </c>
      <c r="O9" s="13">
        <f t="shared" si="5"/>
        <v>46429</v>
      </c>
      <c r="P9" s="13">
        <f t="shared" si="6"/>
        <v>1</v>
      </c>
      <c r="W9" s="13" t="str">
        <f t="shared" si="7"/>
        <v>KEYBOARD</v>
      </c>
      <c r="X9" s="13" t="str">
        <f t="shared" si="8"/>
        <v>keyboard</v>
      </c>
      <c r="Y9" s="13" t="str">
        <f t="shared" si="9"/>
        <v>Keyboard</v>
      </c>
      <c r="Z9" s="13" t="str">
        <f t="shared" si="10"/>
        <v>KEY</v>
      </c>
      <c r="AA9" s="13" t="str">
        <f t="shared" si="11"/>
        <v>BOARD</v>
      </c>
      <c r="AB9" s="13">
        <f t="shared" si="12"/>
        <v>7</v>
      </c>
    </row>
    <row r="10" spans="1:28">
      <c r="A10" s="6">
        <v>2009</v>
      </c>
      <c r="B10" s="7" t="s">
        <v>62</v>
      </c>
      <c r="C10" s="7" t="s">
        <v>71</v>
      </c>
      <c r="D10" s="7" t="s">
        <v>83</v>
      </c>
      <c r="E10" s="15">
        <v>19746</v>
      </c>
      <c r="F10" s="16">
        <v>45047</v>
      </c>
      <c r="H10" s="18">
        <f t="shared" si="0"/>
        <v>19746</v>
      </c>
      <c r="I10" s="13">
        <f t="shared" si="1"/>
        <v>19800</v>
      </c>
      <c r="J10" s="13">
        <f t="shared" si="2"/>
        <v>19700</v>
      </c>
      <c r="K10" s="13">
        <f t="shared" si="3"/>
        <v>19746</v>
      </c>
      <c r="L10" s="13" cm="1">
        <f t="array" aca="1" ref="L10" ca="1">INDIRECT("E"&amp;ROW(E10))</f>
        <v>19746</v>
      </c>
      <c r="M10" s="13">
        <f t="shared" ca="1" si="4"/>
        <v>35185</v>
      </c>
      <c r="N10" s="13" t="s">
        <v>84</v>
      </c>
      <c r="O10" s="13">
        <f t="shared" si="5"/>
        <v>19746</v>
      </c>
      <c r="P10" s="13">
        <f t="shared" si="6"/>
        <v>2</v>
      </c>
      <c r="W10" s="13" t="str">
        <f t="shared" si="7"/>
        <v>PRINTER</v>
      </c>
      <c r="X10" s="13" t="str">
        <f t="shared" si="8"/>
        <v>printer</v>
      </c>
      <c r="Y10" s="13" t="str">
        <f t="shared" si="9"/>
        <v>Printer</v>
      </c>
      <c r="Z10" s="13" t="str">
        <f t="shared" si="10"/>
        <v>PRI</v>
      </c>
      <c r="AA10" s="13" t="str">
        <f t="shared" si="11"/>
        <v>INTER</v>
      </c>
      <c r="AB10" s="13">
        <f t="shared" si="12"/>
        <v>7</v>
      </c>
    </row>
    <row r="11" spans="1:28">
      <c r="A11" s="6">
        <v>2010</v>
      </c>
      <c r="B11" s="7" t="s">
        <v>54</v>
      </c>
      <c r="C11" s="7" t="s">
        <v>55</v>
      </c>
      <c r="D11" s="7" t="s">
        <v>85</v>
      </c>
      <c r="E11" s="15">
        <v>35185</v>
      </c>
      <c r="F11" s="16">
        <v>45062</v>
      </c>
      <c r="H11" s="18">
        <f t="shared" si="0"/>
        <v>35185</v>
      </c>
      <c r="I11" s="13">
        <f t="shared" si="1"/>
        <v>35200</v>
      </c>
      <c r="J11" s="13">
        <f t="shared" si="2"/>
        <v>35100</v>
      </c>
      <c r="K11" s="13">
        <f t="shared" si="3"/>
        <v>35185</v>
      </c>
      <c r="L11" s="13" cm="1">
        <f t="array" aca="1" ref="L11" ca="1">INDIRECT("E"&amp;ROW(E11))</f>
        <v>35185</v>
      </c>
      <c r="M11" s="13">
        <f t="shared" ca="1" si="4"/>
        <v>33920</v>
      </c>
      <c r="N11" s="13" t="s">
        <v>86</v>
      </c>
      <c r="O11" s="13">
        <f t="shared" si="5"/>
        <v>35185</v>
      </c>
      <c r="P11" s="13">
        <f t="shared" si="6"/>
        <v>3</v>
      </c>
      <c r="W11" s="13" t="str">
        <f t="shared" si="7"/>
        <v>KEYBOARD</v>
      </c>
      <c r="X11" s="13" t="str">
        <f t="shared" si="8"/>
        <v>keyboard</v>
      </c>
      <c r="Y11" s="13" t="str">
        <f t="shared" si="9"/>
        <v>Keyboard</v>
      </c>
      <c r="Z11" s="13" t="str">
        <f t="shared" si="10"/>
        <v>KEY</v>
      </c>
      <c r="AA11" s="13" t="str">
        <f t="shared" si="11"/>
        <v>BOARD</v>
      </c>
      <c r="AB11" s="13">
        <f t="shared" si="12"/>
        <v>7</v>
      </c>
    </row>
    <row r="12" spans="1:28">
      <c r="A12" s="6">
        <v>2011</v>
      </c>
      <c r="B12" s="7" t="s">
        <v>54</v>
      </c>
      <c r="C12" s="7" t="s">
        <v>71</v>
      </c>
      <c r="D12" s="7" t="s">
        <v>87</v>
      </c>
      <c r="E12" s="15">
        <v>33920</v>
      </c>
      <c r="F12" s="16">
        <v>45077</v>
      </c>
      <c r="H12" s="18">
        <f t="shared" si="0"/>
        <v>33920</v>
      </c>
      <c r="I12" s="13">
        <f t="shared" si="1"/>
        <v>34000</v>
      </c>
      <c r="J12" s="13">
        <f t="shared" si="2"/>
        <v>33900</v>
      </c>
      <c r="K12" s="13">
        <f t="shared" si="3"/>
        <v>33920</v>
      </c>
      <c r="L12" s="13" cm="1">
        <f t="array" aca="1" ref="L12" ca="1">INDIRECT("E"&amp;ROW(E12))</f>
        <v>33920</v>
      </c>
      <c r="M12" s="13">
        <f t="shared" ca="1" si="4"/>
        <v>35611</v>
      </c>
      <c r="N12" s="13" t="s">
        <v>88</v>
      </c>
      <c r="O12" s="13">
        <f t="shared" si="5"/>
        <v>33920</v>
      </c>
      <c r="P12" s="13">
        <f t="shared" si="6"/>
        <v>3</v>
      </c>
      <c r="W12" s="13" t="str">
        <f t="shared" si="7"/>
        <v>KEYBOARD</v>
      </c>
      <c r="X12" s="13" t="str">
        <f t="shared" si="8"/>
        <v>keyboard</v>
      </c>
      <c r="Y12" s="13" t="str">
        <f t="shared" si="9"/>
        <v>Keyboard</v>
      </c>
      <c r="Z12" s="13" t="str">
        <f t="shared" si="10"/>
        <v>KEY</v>
      </c>
      <c r="AA12" s="13" t="str">
        <f t="shared" si="11"/>
        <v>BOARD</v>
      </c>
      <c r="AB12" s="13">
        <f t="shared" si="12"/>
        <v>7</v>
      </c>
    </row>
    <row r="13" spans="1:28">
      <c r="A13" s="6">
        <v>2012</v>
      </c>
      <c r="B13" s="7" t="s">
        <v>89</v>
      </c>
      <c r="C13" s="7" t="s">
        <v>74</v>
      </c>
      <c r="D13" s="7" t="s">
        <v>90</v>
      </c>
      <c r="E13" s="15">
        <v>35611</v>
      </c>
      <c r="F13" s="16">
        <v>45092</v>
      </c>
      <c r="H13" s="18">
        <f t="shared" si="0"/>
        <v>35611</v>
      </c>
      <c r="I13" s="13">
        <f t="shared" si="1"/>
        <v>35700</v>
      </c>
      <c r="J13" s="13">
        <f t="shared" si="2"/>
        <v>35600</v>
      </c>
      <c r="K13" s="13">
        <f t="shared" si="3"/>
        <v>35611</v>
      </c>
      <c r="L13" s="13" cm="1">
        <f t="array" aca="1" ref="L13" ca="1">INDIRECT("E"&amp;ROW(E13))</f>
        <v>35611</v>
      </c>
      <c r="M13" s="13">
        <f t="shared" ca="1" si="4"/>
        <v>15560</v>
      </c>
      <c r="N13" s="13" t="s">
        <v>91</v>
      </c>
      <c r="O13" s="13">
        <f t="shared" si="5"/>
        <v>35611</v>
      </c>
      <c r="P13" s="13">
        <f t="shared" si="6"/>
        <v>2</v>
      </c>
      <c r="W13" s="13" t="str">
        <f t="shared" si="7"/>
        <v>MONITOR</v>
      </c>
      <c r="X13" s="13" t="str">
        <f t="shared" si="8"/>
        <v>monitor</v>
      </c>
      <c r="Y13" s="13" t="str">
        <f t="shared" si="9"/>
        <v>Monitor</v>
      </c>
      <c r="Z13" s="13" t="str">
        <f t="shared" si="10"/>
        <v>MON</v>
      </c>
      <c r="AA13" s="13" t="str">
        <f t="shared" si="11"/>
        <v>NITOR</v>
      </c>
      <c r="AB13" s="13">
        <f t="shared" si="12"/>
        <v>7</v>
      </c>
    </row>
    <row r="14" spans="1:28">
      <c r="A14" s="6">
        <v>2013</v>
      </c>
      <c r="B14" s="7" t="s">
        <v>92</v>
      </c>
      <c r="C14" s="7" t="s">
        <v>71</v>
      </c>
      <c r="D14" s="7" t="s">
        <v>93</v>
      </c>
      <c r="E14" s="15">
        <v>15560</v>
      </c>
      <c r="F14" s="16">
        <v>45107</v>
      </c>
      <c r="H14" s="18">
        <f t="shared" si="0"/>
        <v>15560</v>
      </c>
      <c r="I14" s="13">
        <f t="shared" si="1"/>
        <v>15600</v>
      </c>
      <c r="J14" s="13">
        <f t="shared" si="2"/>
        <v>15500</v>
      </c>
      <c r="K14" s="13">
        <f t="shared" si="3"/>
        <v>15560</v>
      </c>
      <c r="L14" s="13" cm="1">
        <f t="array" aca="1" ref="L14" ca="1">INDIRECT("E"&amp;ROW(E14))</f>
        <v>15560</v>
      </c>
      <c r="M14" s="13">
        <f t="shared" ca="1" si="4"/>
        <v>7283</v>
      </c>
      <c r="N14" s="13" t="s">
        <v>94</v>
      </c>
      <c r="O14" s="13">
        <f t="shared" si="5"/>
        <v>15560</v>
      </c>
      <c r="P14" s="13">
        <f t="shared" si="6"/>
        <v>1</v>
      </c>
      <c r="W14" s="13" t="str">
        <f t="shared" si="7"/>
        <v>LAPTOP</v>
      </c>
      <c r="X14" s="13" t="str">
        <f t="shared" si="8"/>
        <v>laptop</v>
      </c>
      <c r="Y14" s="13" t="str">
        <f t="shared" si="9"/>
        <v>Laptop</v>
      </c>
      <c r="Z14" s="13" t="str">
        <f t="shared" si="10"/>
        <v>LAP</v>
      </c>
      <c r="AA14" s="13" t="str">
        <f t="shared" si="11"/>
        <v>APTOP</v>
      </c>
      <c r="AB14" s="13">
        <f t="shared" si="12"/>
        <v>7</v>
      </c>
    </row>
    <row r="15" spans="1:28">
      <c r="A15" s="6">
        <v>2014</v>
      </c>
      <c r="B15" s="7" t="s">
        <v>92</v>
      </c>
      <c r="C15" s="7" t="s">
        <v>55</v>
      </c>
      <c r="D15" s="7" t="s">
        <v>95</v>
      </c>
      <c r="E15" s="15">
        <v>7283</v>
      </c>
      <c r="F15" s="16">
        <v>45122</v>
      </c>
      <c r="H15" s="18">
        <f t="shared" si="0"/>
        <v>7283</v>
      </c>
      <c r="I15" s="13">
        <f t="shared" si="1"/>
        <v>7300</v>
      </c>
      <c r="J15" s="13">
        <f t="shared" si="2"/>
        <v>7200</v>
      </c>
      <c r="K15" s="13">
        <f t="shared" si="3"/>
        <v>7283</v>
      </c>
      <c r="L15" s="13" cm="1">
        <f t="array" aca="1" ref="L15" ca="1">INDIRECT("E"&amp;ROW(E15))</f>
        <v>7283</v>
      </c>
      <c r="M15" s="13">
        <f t="shared" ca="1" si="4"/>
        <v>15678</v>
      </c>
      <c r="N15" s="13" t="s">
        <v>96</v>
      </c>
      <c r="O15" s="13">
        <f t="shared" si="5"/>
        <v>7283</v>
      </c>
      <c r="P15" s="13">
        <f t="shared" si="6"/>
        <v>3</v>
      </c>
      <c r="W15" s="13" t="str">
        <f t="shared" si="7"/>
        <v>LAPTOP</v>
      </c>
      <c r="X15" s="13" t="str">
        <f t="shared" si="8"/>
        <v>laptop</v>
      </c>
      <c r="Y15" s="13" t="str">
        <f t="shared" si="9"/>
        <v>Laptop</v>
      </c>
      <c r="Z15" s="13" t="str">
        <f t="shared" si="10"/>
        <v>LAP</v>
      </c>
      <c r="AA15" s="13" t="str">
        <f t="shared" si="11"/>
        <v>APTOP</v>
      </c>
      <c r="AB15" s="13">
        <f t="shared" si="12"/>
        <v>7</v>
      </c>
    </row>
    <row r="16" spans="1:28">
      <c r="A16" s="6">
        <v>2015</v>
      </c>
      <c r="B16" s="7" t="s">
        <v>92</v>
      </c>
      <c r="C16" s="7" t="s">
        <v>71</v>
      </c>
      <c r="D16" s="7" t="s">
        <v>97</v>
      </c>
      <c r="E16" s="15">
        <v>15678</v>
      </c>
      <c r="F16" s="16">
        <v>45137</v>
      </c>
      <c r="H16" s="18">
        <f t="shared" si="0"/>
        <v>15678</v>
      </c>
      <c r="I16" s="13">
        <f t="shared" si="1"/>
        <v>15700</v>
      </c>
      <c r="J16" s="13">
        <f t="shared" si="2"/>
        <v>15600</v>
      </c>
      <c r="K16" s="13">
        <f t="shared" si="3"/>
        <v>15678</v>
      </c>
      <c r="L16" s="13" cm="1">
        <f t="array" aca="1" ref="L16" ca="1">INDIRECT("E"&amp;ROW(E16))</f>
        <v>15678</v>
      </c>
      <c r="M16" s="13">
        <f t="shared" ca="1" si="4"/>
        <v>5277</v>
      </c>
      <c r="N16" s="13" t="s">
        <v>98</v>
      </c>
      <c r="O16" s="13">
        <f t="shared" si="5"/>
        <v>15678</v>
      </c>
      <c r="P16" s="13">
        <f t="shared" si="6"/>
        <v>3</v>
      </c>
      <c r="W16" s="13" t="str">
        <f t="shared" si="7"/>
        <v>LAPTOP</v>
      </c>
      <c r="X16" s="13" t="str">
        <f t="shared" si="8"/>
        <v>laptop</v>
      </c>
      <c r="Y16" s="13" t="str">
        <f t="shared" si="9"/>
        <v>Laptop</v>
      </c>
      <c r="Z16" s="13" t="str">
        <f t="shared" si="10"/>
        <v>LAP</v>
      </c>
      <c r="AA16" s="13" t="str">
        <f t="shared" si="11"/>
        <v>APTOP</v>
      </c>
      <c r="AB16" s="13">
        <f t="shared" si="12"/>
        <v>7</v>
      </c>
    </row>
    <row r="17" spans="1:28">
      <c r="A17" s="6">
        <v>2016</v>
      </c>
      <c r="B17" s="7" t="s">
        <v>67</v>
      </c>
      <c r="C17" s="7" t="s">
        <v>71</v>
      </c>
      <c r="D17" s="7" t="s">
        <v>99</v>
      </c>
      <c r="E17" s="15">
        <v>5277</v>
      </c>
      <c r="F17" s="16">
        <v>45152</v>
      </c>
      <c r="H17" s="18">
        <f t="shared" si="0"/>
        <v>5277</v>
      </c>
      <c r="I17" s="13">
        <f t="shared" si="1"/>
        <v>5300</v>
      </c>
      <c r="J17" s="13">
        <f t="shared" si="2"/>
        <v>5200</v>
      </c>
      <c r="K17" s="13">
        <f t="shared" si="3"/>
        <v>5277</v>
      </c>
      <c r="L17" s="13" cm="1">
        <f t="array" aca="1" ref="L17" ca="1">INDIRECT("E"&amp;ROW(E17))</f>
        <v>5277</v>
      </c>
      <c r="M17" s="13">
        <f t="shared" ca="1" si="4"/>
        <v>41871</v>
      </c>
      <c r="N17" s="13" t="s">
        <v>100</v>
      </c>
      <c r="O17" s="13">
        <f t="shared" si="5"/>
        <v>5277</v>
      </c>
      <c r="P17" s="13">
        <f t="shared" si="6"/>
        <v>2</v>
      </c>
      <c r="W17" s="13" t="str">
        <f t="shared" si="7"/>
        <v>MOUSE</v>
      </c>
      <c r="X17" s="13" t="str">
        <f t="shared" si="8"/>
        <v>mouse</v>
      </c>
      <c r="Y17" s="13" t="str">
        <f t="shared" si="9"/>
        <v>Mouse</v>
      </c>
      <c r="Z17" s="13" t="str">
        <f t="shared" si="10"/>
        <v>MOU</v>
      </c>
      <c r="AA17" s="13" t="str">
        <f t="shared" si="11"/>
        <v>MOUSE</v>
      </c>
      <c r="AB17" s="13">
        <f t="shared" si="12"/>
        <v>7</v>
      </c>
    </row>
    <row r="18" spans="1:28">
      <c r="A18" s="6">
        <v>2017</v>
      </c>
      <c r="B18" s="7" t="s">
        <v>89</v>
      </c>
      <c r="C18" s="7" t="s">
        <v>74</v>
      </c>
      <c r="D18" s="7" t="s">
        <v>101</v>
      </c>
      <c r="E18" s="15">
        <v>41871</v>
      </c>
      <c r="F18" s="16">
        <v>45167</v>
      </c>
      <c r="H18" s="18">
        <f t="shared" si="0"/>
        <v>41871</v>
      </c>
      <c r="I18" s="13">
        <f t="shared" si="1"/>
        <v>41900</v>
      </c>
      <c r="J18" s="13">
        <f t="shared" si="2"/>
        <v>41800</v>
      </c>
      <c r="K18" s="13">
        <f t="shared" si="3"/>
        <v>41871</v>
      </c>
      <c r="L18" s="13" cm="1">
        <f t="array" aca="1" ref="L18" ca="1">INDIRECT("E"&amp;ROW(E18))</f>
        <v>41871</v>
      </c>
      <c r="M18" s="13">
        <f t="shared" ca="1" si="4"/>
        <v>38161</v>
      </c>
      <c r="N18" s="13" t="s">
        <v>102</v>
      </c>
      <c r="O18" s="13">
        <f t="shared" si="5"/>
        <v>41871</v>
      </c>
      <c r="P18" s="13">
        <f t="shared" si="6"/>
        <v>3</v>
      </c>
      <c r="W18" s="13" t="str">
        <f t="shared" si="7"/>
        <v>MONITOR</v>
      </c>
      <c r="X18" s="13" t="str">
        <f t="shared" si="8"/>
        <v>monitor</v>
      </c>
      <c r="Y18" s="13" t="str">
        <f t="shared" si="9"/>
        <v>Monitor</v>
      </c>
      <c r="Z18" s="13" t="str">
        <f t="shared" si="10"/>
        <v>MON</v>
      </c>
      <c r="AA18" s="13" t="str">
        <f t="shared" si="11"/>
        <v>NITOR</v>
      </c>
      <c r="AB18" s="13">
        <f t="shared" si="12"/>
        <v>7</v>
      </c>
    </row>
    <row r="19" spans="1:28">
      <c r="A19" s="6">
        <v>2018</v>
      </c>
      <c r="B19" s="7" t="s">
        <v>89</v>
      </c>
      <c r="C19" s="7" t="s">
        <v>63</v>
      </c>
      <c r="D19" s="7" t="s">
        <v>103</v>
      </c>
      <c r="E19" s="15">
        <v>38161</v>
      </c>
      <c r="F19" s="16">
        <v>45182</v>
      </c>
      <c r="H19" s="18">
        <f t="shared" si="0"/>
        <v>38161</v>
      </c>
      <c r="I19" s="13">
        <f t="shared" si="1"/>
        <v>38200</v>
      </c>
      <c r="J19" s="13">
        <f t="shared" si="2"/>
        <v>38100</v>
      </c>
      <c r="K19" s="13">
        <f t="shared" si="3"/>
        <v>38161</v>
      </c>
      <c r="L19" s="13" cm="1">
        <f t="array" aca="1" ref="L19" ca="1">INDIRECT("E"&amp;ROW(E19))</f>
        <v>38161</v>
      </c>
      <c r="M19" s="13">
        <f t="shared" ca="1" si="4"/>
        <v>30436</v>
      </c>
      <c r="N19" s="13" t="s">
        <v>104</v>
      </c>
      <c r="O19" s="13">
        <f t="shared" si="5"/>
        <v>38161</v>
      </c>
      <c r="P19" s="13">
        <f t="shared" si="6"/>
        <v>3</v>
      </c>
      <c r="W19" s="13" t="str">
        <f t="shared" si="7"/>
        <v>MONITOR</v>
      </c>
      <c r="X19" s="13" t="str">
        <f t="shared" si="8"/>
        <v>monitor</v>
      </c>
      <c r="Y19" s="13" t="str">
        <f t="shared" si="9"/>
        <v>Monitor</v>
      </c>
      <c r="Z19" s="13" t="str">
        <f t="shared" si="10"/>
        <v>MON</v>
      </c>
      <c r="AA19" s="13" t="str">
        <f t="shared" si="11"/>
        <v>NITOR</v>
      </c>
      <c r="AB19" s="13">
        <f t="shared" si="12"/>
        <v>7</v>
      </c>
    </row>
    <row r="20" spans="1:28">
      <c r="A20" s="6">
        <v>2019</v>
      </c>
      <c r="B20" s="7" t="s">
        <v>67</v>
      </c>
      <c r="C20" s="7" t="s">
        <v>63</v>
      </c>
      <c r="D20" s="7" t="s">
        <v>105</v>
      </c>
      <c r="E20" s="15">
        <v>30436</v>
      </c>
      <c r="F20" s="16">
        <v>45197</v>
      </c>
      <c r="H20" s="18">
        <f t="shared" si="0"/>
        <v>30436</v>
      </c>
      <c r="I20" s="13">
        <f t="shared" si="1"/>
        <v>30500</v>
      </c>
      <c r="J20" s="13">
        <f t="shared" si="2"/>
        <v>30400</v>
      </c>
      <c r="K20" s="13">
        <f t="shared" si="3"/>
        <v>30436</v>
      </c>
      <c r="L20" s="13" cm="1">
        <f t="array" aca="1" ref="L20" ca="1">INDIRECT("E"&amp;ROW(E20))</f>
        <v>30436</v>
      </c>
      <c r="M20" s="13">
        <f t="shared" ca="1" si="4"/>
        <v>33953</v>
      </c>
      <c r="N20" s="13" t="s">
        <v>106</v>
      </c>
      <c r="O20" s="13">
        <f t="shared" si="5"/>
        <v>30436</v>
      </c>
      <c r="P20" s="13">
        <f t="shared" si="6"/>
        <v>3</v>
      </c>
      <c r="W20" s="13" t="str">
        <f t="shared" si="7"/>
        <v>MOUSE</v>
      </c>
      <c r="X20" s="13" t="str">
        <f t="shared" si="8"/>
        <v>mouse</v>
      </c>
      <c r="Y20" s="13" t="str">
        <f t="shared" si="9"/>
        <v>Mouse</v>
      </c>
      <c r="Z20" s="13" t="str">
        <f t="shared" si="10"/>
        <v>MOU</v>
      </c>
      <c r="AA20" s="13" t="str">
        <f t="shared" si="11"/>
        <v>MOUSE</v>
      </c>
      <c r="AB20" s="13">
        <f t="shared" si="12"/>
        <v>7</v>
      </c>
    </row>
    <row r="21" spans="1:28">
      <c r="A21" s="6">
        <v>2020</v>
      </c>
      <c r="B21" s="7" t="s">
        <v>62</v>
      </c>
      <c r="C21" s="7" t="s">
        <v>63</v>
      </c>
      <c r="D21" s="7" t="s">
        <v>107</v>
      </c>
      <c r="E21" s="15">
        <v>33953</v>
      </c>
      <c r="F21" s="16">
        <v>45212</v>
      </c>
      <c r="H21" s="18">
        <f t="shared" si="0"/>
        <v>33953</v>
      </c>
      <c r="I21" s="13">
        <f t="shared" si="1"/>
        <v>34000</v>
      </c>
      <c r="J21" s="13">
        <f t="shared" si="2"/>
        <v>33900</v>
      </c>
      <c r="K21" s="13">
        <f t="shared" si="3"/>
        <v>33953</v>
      </c>
      <c r="L21" s="13" cm="1">
        <f t="array" aca="1" ref="L21" ca="1">INDIRECT("E"&amp;ROW(E21))</f>
        <v>33953</v>
      </c>
      <c r="M21" s="13">
        <f t="shared" ca="1" si="4"/>
        <v>0</v>
      </c>
      <c r="N21" s="13" t="s">
        <v>108</v>
      </c>
      <c r="O21" s="13">
        <f t="shared" si="5"/>
        <v>33953</v>
      </c>
      <c r="P21" s="13">
        <f t="shared" si="6"/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BBE6D-ADA1-498D-9427-C199951C3FCD}">
  <dimension ref="A1:L21"/>
  <sheetViews>
    <sheetView workbookViewId="0">
      <selection activeCell="J16" sqref="J16"/>
    </sheetView>
  </sheetViews>
  <sheetFormatPr defaultRowHeight="15"/>
  <cols>
    <col min="1" max="1" width="11.85546875" customWidth="1"/>
    <col min="2" max="2" width="12.5703125" customWidth="1"/>
    <col min="3" max="3" width="11" customWidth="1"/>
    <col min="5" max="5" width="12.42578125" customWidth="1"/>
    <col min="7" max="7" width="15.7109375" customWidth="1"/>
    <col min="8" max="8" width="17.28515625" customWidth="1"/>
    <col min="9" max="9" width="12.42578125" customWidth="1"/>
    <col min="10" max="10" width="12.5703125" customWidth="1"/>
    <col min="11" max="11" width="11.85546875" customWidth="1"/>
  </cols>
  <sheetData>
    <row r="1" spans="1:12">
      <c r="A1" s="2" t="s">
        <v>109</v>
      </c>
      <c r="B1" s="3" t="s">
        <v>1</v>
      </c>
      <c r="C1" s="3" t="s">
        <v>110</v>
      </c>
      <c r="D1" s="3" t="s">
        <v>111</v>
      </c>
      <c r="E1" s="1" t="s">
        <v>112</v>
      </c>
      <c r="G1" s="11" t="s">
        <v>113</v>
      </c>
      <c r="H1" s="12" t="s">
        <v>114</v>
      </c>
      <c r="I1" s="12" t="s">
        <v>115</v>
      </c>
      <c r="K1" s="14" t="s">
        <v>115</v>
      </c>
      <c r="L1" s="5"/>
    </row>
    <row r="2" spans="1:12">
      <c r="A2" s="6">
        <v>3001</v>
      </c>
      <c r="B2" s="7" t="s">
        <v>116</v>
      </c>
      <c r="C2" s="7" t="s">
        <v>117</v>
      </c>
      <c r="D2" s="7">
        <v>86766</v>
      </c>
      <c r="E2" s="8">
        <v>42005</v>
      </c>
      <c r="G2" s="9">
        <f ca="1">TODAY()-E2</f>
        <v>4305</v>
      </c>
      <c r="H2" s="13">
        <f>E3-E2</f>
        <v>250</v>
      </c>
      <c r="I2" s="13">
        <f>_xlfn.XLOOKUP(A2,$A$2:$A$21,$D$2:$D$21,"Not Found")</f>
        <v>86766</v>
      </c>
      <c r="J2" s="4"/>
      <c r="K2" s="21" t="s">
        <v>118</v>
      </c>
      <c r="L2" s="21">
        <v>3001</v>
      </c>
    </row>
    <row r="3" spans="1:12">
      <c r="A3" s="6">
        <v>3002</v>
      </c>
      <c r="B3" s="7" t="s">
        <v>119</v>
      </c>
      <c r="C3" s="7" t="s">
        <v>117</v>
      </c>
      <c r="D3" s="7">
        <v>31943</v>
      </c>
      <c r="E3" s="8">
        <v>42255</v>
      </c>
      <c r="G3" s="9">
        <f t="shared" ref="G3:G21" ca="1" si="0">TODAY()-E3</f>
        <v>4055</v>
      </c>
      <c r="H3" s="13">
        <f t="shared" ref="H3:H21" si="1">E4-E3</f>
        <v>250</v>
      </c>
      <c r="I3" s="13">
        <f t="shared" ref="I3:I21" si="2">_xlfn.XLOOKUP(A3,$A$2:$A$21,$D$2:$D$21,"Not Found")</f>
        <v>31943</v>
      </c>
      <c r="K3" s="21" t="s">
        <v>120</v>
      </c>
      <c r="L3" s="13">
        <f>_xlfn.XLOOKUP(L2,$A$2:$A$21,$D$2:$D$21,"Not Found")</f>
        <v>86766</v>
      </c>
    </row>
    <row r="4" spans="1:12">
      <c r="A4" s="6">
        <v>3003</v>
      </c>
      <c r="B4" s="7" t="s">
        <v>121</v>
      </c>
      <c r="C4" s="7" t="s">
        <v>122</v>
      </c>
      <c r="D4" s="7">
        <v>63374</v>
      </c>
      <c r="E4" s="8">
        <v>42505</v>
      </c>
      <c r="G4" s="9">
        <f t="shared" ca="1" si="0"/>
        <v>3805</v>
      </c>
      <c r="H4" s="13">
        <f t="shared" si="1"/>
        <v>250</v>
      </c>
      <c r="I4" s="13">
        <f t="shared" si="2"/>
        <v>63374</v>
      </c>
    </row>
    <row r="5" spans="1:12">
      <c r="A5" s="6">
        <v>3004</v>
      </c>
      <c r="B5" s="7" t="s">
        <v>123</v>
      </c>
      <c r="C5" s="7" t="s">
        <v>117</v>
      </c>
      <c r="D5" s="7">
        <v>109972</v>
      </c>
      <c r="E5" s="8">
        <v>42755</v>
      </c>
      <c r="G5" s="9">
        <f t="shared" ca="1" si="0"/>
        <v>3555</v>
      </c>
      <c r="H5" s="13">
        <f t="shared" si="1"/>
        <v>250</v>
      </c>
      <c r="I5" s="13">
        <f t="shared" si="2"/>
        <v>109972</v>
      </c>
    </row>
    <row r="6" spans="1:12">
      <c r="A6" s="6">
        <v>3005</v>
      </c>
      <c r="B6" s="7" t="s">
        <v>124</v>
      </c>
      <c r="C6" s="7" t="s">
        <v>125</v>
      </c>
      <c r="D6" s="7">
        <v>54149</v>
      </c>
      <c r="E6" s="8">
        <v>43005</v>
      </c>
      <c r="G6" s="9">
        <f t="shared" ca="1" si="0"/>
        <v>3305</v>
      </c>
      <c r="H6" s="13">
        <f t="shared" si="1"/>
        <v>250</v>
      </c>
      <c r="I6" s="13">
        <f t="shared" si="2"/>
        <v>54149</v>
      </c>
    </row>
    <row r="7" spans="1:12">
      <c r="A7" s="6">
        <v>3006</v>
      </c>
      <c r="B7" s="7" t="s">
        <v>126</v>
      </c>
      <c r="C7" s="7" t="s">
        <v>125</v>
      </c>
      <c r="D7" s="7">
        <v>78689</v>
      </c>
      <c r="E7" s="8">
        <v>43255</v>
      </c>
      <c r="G7" s="9">
        <f t="shared" ca="1" si="0"/>
        <v>3055</v>
      </c>
      <c r="H7" s="13">
        <f t="shared" si="1"/>
        <v>250</v>
      </c>
      <c r="I7" s="13">
        <f t="shared" si="2"/>
        <v>78689</v>
      </c>
    </row>
    <row r="8" spans="1:12">
      <c r="A8" s="6">
        <v>3007</v>
      </c>
      <c r="B8" s="7" t="s">
        <v>127</v>
      </c>
      <c r="C8" s="7" t="s">
        <v>128</v>
      </c>
      <c r="D8" s="7">
        <v>35960</v>
      </c>
      <c r="E8" s="8">
        <v>43505</v>
      </c>
      <c r="G8" s="9">
        <f t="shared" ca="1" si="0"/>
        <v>2805</v>
      </c>
      <c r="H8" s="13">
        <f t="shared" si="1"/>
        <v>250</v>
      </c>
      <c r="I8" s="13">
        <f t="shared" si="2"/>
        <v>35960</v>
      </c>
    </row>
    <row r="9" spans="1:12">
      <c r="A9" s="6">
        <v>3008</v>
      </c>
      <c r="B9" s="7" t="s">
        <v>129</v>
      </c>
      <c r="C9" s="7" t="s">
        <v>125</v>
      </c>
      <c r="D9" s="7">
        <v>91659</v>
      </c>
      <c r="E9" s="8">
        <v>43755</v>
      </c>
      <c r="G9" s="9">
        <f t="shared" ca="1" si="0"/>
        <v>2555</v>
      </c>
      <c r="H9" s="13">
        <f t="shared" si="1"/>
        <v>250</v>
      </c>
      <c r="I9" s="13">
        <f t="shared" si="2"/>
        <v>91659</v>
      </c>
    </row>
    <row r="10" spans="1:12">
      <c r="A10" s="6">
        <v>3009</v>
      </c>
      <c r="B10" s="7" t="s">
        <v>130</v>
      </c>
      <c r="C10" s="7" t="s">
        <v>125</v>
      </c>
      <c r="D10" s="7">
        <v>90423</v>
      </c>
      <c r="E10" s="8">
        <v>44005</v>
      </c>
      <c r="G10" s="9">
        <f t="shared" ca="1" si="0"/>
        <v>2305</v>
      </c>
      <c r="H10" s="13">
        <f t="shared" si="1"/>
        <v>250</v>
      </c>
      <c r="I10" s="13">
        <f t="shared" si="2"/>
        <v>90423</v>
      </c>
    </row>
    <row r="11" spans="1:12">
      <c r="A11" s="6">
        <v>3010</v>
      </c>
      <c r="B11" s="7" t="s">
        <v>131</v>
      </c>
      <c r="C11" s="7" t="s">
        <v>122</v>
      </c>
      <c r="D11" s="7">
        <v>107877</v>
      </c>
      <c r="E11" s="8">
        <v>44255</v>
      </c>
      <c r="G11" s="9">
        <f t="shared" ca="1" si="0"/>
        <v>2055</v>
      </c>
      <c r="H11" s="13">
        <f t="shared" si="1"/>
        <v>250</v>
      </c>
      <c r="I11" s="13">
        <f t="shared" si="2"/>
        <v>107877</v>
      </c>
    </row>
    <row r="12" spans="1:12">
      <c r="A12" s="6">
        <v>3011</v>
      </c>
      <c r="B12" s="7" t="s">
        <v>132</v>
      </c>
      <c r="C12" s="7" t="s">
        <v>117</v>
      </c>
      <c r="D12" s="7">
        <v>107634</v>
      </c>
      <c r="E12" s="8">
        <v>44505</v>
      </c>
      <c r="G12" s="9">
        <f t="shared" ca="1" si="0"/>
        <v>1805</v>
      </c>
      <c r="H12" s="13">
        <f t="shared" si="1"/>
        <v>250</v>
      </c>
      <c r="I12" s="13">
        <f t="shared" si="2"/>
        <v>107634</v>
      </c>
    </row>
    <row r="13" spans="1:12">
      <c r="A13" s="6">
        <v>3012</v>
      </c>
      <c r="B13" s="7" t="s">
        <v>133</v>
      </c>
      <c r="C13" s="7" t="s">
        <v>117</v>
      </c>
      <c r="D13" s="7">
        <v>35226</v>
      </c>
      <c r="E13" s="8">
        <v>44755</v>
      </c>
      <c r="G13" s="9">
        <f t="shared" ca="1" si="0"/>
        <v>1555</v>
      </c>
      <c r="H13" s="13">
        <f t="shared" si="1"/>
        <v>250</v>
      </c>
      <c r="I13" s="13">
        <f t="shared" si="2"/>
        <v>35226</v>
      </c>
    </row>
    <row r="14" spans="1:12">
      <c r="A14" s="6">
        <v>3013</v>
      </c>
      <c r="B14" s="7" t="s">
        <v>134</v>
      </c>
      <c r="C14" s="7" t="s">
        <v>122</v>
      </c>
      <c r="D14" s="7">
        <v>40872</v>
      </c>
      <c r="E14" s="8">
        <v>45005</v>
      </c>
      <c r="G14" s="9">
        <f t="shared" ca="1" si="0"/>
        <v>1305</v>
      </c>
      <c r="H14" s="13">
        <f t="shared" si="1"/>
        <v>250</v>
      </c>
      <c r="I14" s="13">
        <f t="shared" si="2"/>
        <v>40872</v>
      </c>
    </row>
    <row r="15" spans="1:12">
      <c r="A15" s="6">
        <v>3014</v>
      </c>
      <c r="B15" s="7" t="s">
        <v>135</v>
      </c>
      <c r="C15" s="7" t="s">
        <v>122</v>
      </c>
      <c r="D15" s="7">
        <v>55378</v>
      </c>
      <c r="E15" s="8">
        <v>45255</v>
      </c>
      <c r="G15" s="9">
        <f t="shared" ca="1" si="0"/>
        <v>1055</v>
      </c>
      <c r="H15" s="13">
        <f t="shared" si="1"/>
        <v>250</v>
      </c>
      <c r="I15" s="13">
        <f t="shared" si="2"/>
        <v>55378</v>
      </c>
    </row>
    <row r="16" spans="1:12">
      <c r="A16" s="6">
        <v>3015</v>
      </c>
      <c r="B16" s="7" t="s">
        <v>136</v>
      </c>
      <c r="C16" s="7" t="s">
        <v>122</v>
      </c>
      <c r="D16" s="7">
        <v>63297</v>
      </c>
      <c r="E16" s="8">
        <v>45505</v>
      </c>
      <c r="G16" s="9">
        <f t="shared" ca="1" si="0"/>
        <v>805</v>
      </c>
      <c r="H16" s="13">
        <f t="shared" si="1"/>
        <v>250</v>
      </c>
      <c r="I16" s="13">
        <f t="shared" si="2"/>
        <v>63297</v>
      </c>
    </row>
    <row r="17" spans="1:9">
      <c r="A17" s="6">
        <v>3016</v>
      </c>
      <c r="B17" s="7" t="s">
        <v>137</v>
      </c>
      <c r="C17" s="7" t="s">
        <v>117</v>
      </c>
      <c r="D17" s="7">
        <v>114173</v>
      </c>
      <c r="E17" s="8">
        <v>45755</v>
      </c>
      <c r="G17" s="9">
        <f t="shared" ca="1" si="0"/>
        <v>555</v>
      </c>
      <c r="H17" s="13">
        <f t="shared" si="1"/>
        <v>250</v>
      </c>
      <c r="I17" s="13">
        <f t="shared" si="2"/>
        <v>114173</v>
      </c>
    </row>
    <row r="18" spans="1:9">
      <c r="A18" s="6">
        <v>3017</v>
      </c>
      <c r="B18" s="7" t="s">
        <v>138</v>
      </c>
      <c r="C18" s="7" t="s">
        <v>122</v>
      </c>
      <c r="D18" s="7">
        <v>86915</v>
      </c>
      <c r="E18" s="8">
        <v>46005</v>
      </c>
      <c r="G18" s="9">
        <f t="shared" ca="1" si="0"/>
        <v>305</v>
      </c>
      <c r="H18" s="13">
        <f t="shared" si="1"/>
        <v>250</v>
      </c>
      <c r="I18" s="13">
        <f t="shared" si="2"/>
        <v>86915</v>
      </c>
    </row>
    <row r="19" spans="1:9">
      <c r="A19" s="6">
        <v>3018</v>
      </c>
      <c r="B19" s="7" t="s">
        <v>139</v>
      </c>
      <c r="C19" s="7" t="s">
        <v>125</v>
      </c>
      <c r="D19" s="7">
        <v>116284</v>
      </c>
      <c r="E19" s="8">
        <v>46255</v>
      </c>
      <c r="G19" s="9">
        <f t="shared" ca="1" si="0"/>
        <v>55</v>
      </c>
      <c r="H19" s="13">
        <f t="shared" si="1"/>
        <v>-115</v>
      </c>
      <c r="I19" s="13">
        <f t="shared" si="2"/>
        <v>116284</v>
      </c>
    </row>
    <row r="20" spans="1:9">
      <c r="A20" s="6">
        <v>3019</v>
      </c>
      <c r="B20" s="7" t="s">
        <v>140</v>
      </c>
      <c r="C20" s="7" t="s">
        <v>128</v>
      </c>
      <c r="D20" s="7">
        <v>116283</v>
      </c>
      <c r="E20" s="8">
        <v>46140</v>
      </c>
      <c r="G20" s="9">
        <f t="shared" ca="1" si="0"/>
        <v>170</v>
      </c>
      <c r="H20" s="13">
        <f t="shared" si="1"/>
        <v>-115</v>
      </c>
      <c r="I20" s="13">
        <f t="shared" si="2"/>
        <v>116283</v>
      </c>
    </row>
    <row r="21" spans="1:9">
      <c r="A21" s="6">
        <v>3020</v>
      </c>
      <c r="B21" s="7" t="s">
        <v>141</v>
      </c>
      <c r="C21" s="7" t="s">
        <v>128</v>
      </c>
      <c r="D21" s="7">
        <v>99924</v>
      </c>
      <c r="E21" s="8">
        <v>46025</v>
      </c>
      <c r="G21" s="9">
        <f t="shared" ca="1" si="0"/>
        <v>285</v>
      </c>
      <c r="H21" s="13">
        <f t="shared" si="1"/>
        <v>-46025</v>
      </c>
      <c r="I21" s="13">
        <f t="shared" si="2"/>
        <v>99924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2026-10-15T05:59:57Z</dcterms:created>
  <dcterms:modified xsi:type="dcterms:W3CDTF">2026-10-15T09:44:13Z</dcterms:modified>
  <cp:category/>
  <cp:contentStatus/>
</cp:coreProperties>
</file>